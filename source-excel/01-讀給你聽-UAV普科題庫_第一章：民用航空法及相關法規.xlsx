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__【無人機】\考照\【APP】\"/>
    </mc:Choice>
  </mc:AlternateContent>
  <bookViews>
    <workbookView xWindow="0" yWindow="600" windowWidth="28800" windowHeight="17400" activeTab="1"/>
  </bookViews>
  <sheets>
    <sheet name="dB題庫" sheetId="1" r:id="rId1"/>
    <sheet name="【讀給你聽】" sheetId="2" r:id="rId2"/>
    <sheet name="Steps" sheetId="3" r:id="rId3"/>
  </sheets>
  <definedNames>
    <definedName name="_xlnm._FilterDatabase" localSheetId="0" hidden="1">dB題庫!$A$1:$H$92</definedName>
  </definedNames>
  <calcPr calcId="162913"/>
</workbook>
</file>

<file path=xl/calcChain.xml><?xml version="1.0" encoding="utf-8"?>
<calcChain xmlns="http://schemas.openxmlformats.org/spreadsheetml/2006/main">
  <c r="A40" i="2" l="1"/>
  <c r="B40" i="2"/>
  <c r="D40" i="2"/>
  <c r="C41" i="2" s="1"/>
  <c r="E40" i="2"/>
  <c r="C42" i="2" s="1"/>
  <c r="F40" i="2"/>
  <c r="C43" i="2" s="1"/>
  <c r="G40" i="2"/>
  <c r="C44" i="2" s="1"/>
  <c r="H40" i="2"/>
  <c r="I40" i="2"/>
  <c r="C46" i="2" s="1"/>
  <c r="A47" i="2"/>
  <c r="B47" i="2"/>
  <c r="D47" i="2"/>
  <c r="C48" i="2" s="1"/>
  <c r="E47" i="2"/>
  <c r="C49" i="2" s="1"/>
  <c r="F47" i="2"/>
  <c r="C50" i="2" s="1"/>
  <c r="G47" i="2"/>
  <c r="C51" i="2" s="1"/>
  <c r="H47" i="2"/>
  <c r="I47" i="2"/>
  <c r="C53" i="2" s="1"/>
  <c r="A54" i="2"/>
  <c r="B54" i="2"/>
  <c r="D54" i="2"/>
  <c r="C55" i="2" s="1"/>
  <c r="E54" i="2"/>
  <c r="C56" i="2" s="1"/>
  <c r="F54" i="2"/>
  <c r="C57" i="2" s="1"/>
  <c r="G54" i="2"/>
  <c r="C58" i="2" s="1"/>
  <c r="H54" i="2"/>
  <c r="I54" i="2"/>
  <c r="C60" i="2" s="1"/>
  <c r="A61" i="2"/>
  <c r="B61" i="2"/>
  <c r="D61" i="2"/>
  <c r="C62" i="2" s="1"/>
  <c r="E61" i="2"/>
  <c r="C63" i="2" s="1"/>
  <c r="F61" i="2"/>
  <c r="C64" i="2" s="1"/>
  <c r="G61" i="2"/>
  <c r="C65" i="2" s="1"/>
  <c r="H61" i="2"/>
  <c r="I61" i="2"/>
  <c r="C67" i="2" s="1"/>
  <c r="A68" i="2"/>
  <c r="B68" i="2"/>
  <c r="D68" i="2"/>
  <c r="C69" i="2" s="1"/>
  <c r="E68" i="2"/>
  <c r="C70" i="2" s="1"/>
  <c r="F68" i="2"/>
  <c r="C71" i="2" s="1"/>
  <c r="G68" i="2"/>
  <c r="C72" i="2" s="1"/>
  <c r="H68" i="2"/>
  <c r="I68" i="2"/>
  <c r="C74" i="2" s="1"/>
  <c r="A75" i="2"/>
  <c r="B75" i="2"/>
  <c r="D75" i="2"/>
  <c r="C76" i="2" s="1"/>
  <c r="E75" i="2"/>
  <c r="C77" i="2" s="1"/>
  <c r="F75" i="2"/>
  <c r="C78" i="2" s="1"/>
  <c r="G75" i="2"/>
  <c r="C79" i="2" s="1"/>
  <c r="H75" i="2"/>
  <c r="I75" i="2"/>
  <c r="C81" i="2" s="1"/>
  <c r="A82" i="2"/>
  <c r="B82" i="2"/>
  <c r="D82" i="2"/>
  <c r="C83" i="2" s="1"/>
  <c r="E82" i="2"/>
  <c r="C84" i="2" s="1"/>
  <c r="F82" i="2"/>
  <c r="C85" i="2" s="1"/>
  <c r="G82" i="2"/>
  <c r="C86" i="2" s="1"/>
  <c r="H82" i="2"/>
  <c r="I82" i="2"/>
  <c r="C88" i="2" s="1"/>
  <c r="A89" i="2"/>
  <c r="B89" i="2"/>
  <c r="D89" i="2"/>
  <c r="C90" i="2" s="1"/>
  <c r="E89" i="2"/>
  <c r="C91" i="2" s="1"/>
  <c r="F89" i="2"/>
  <c r="C92" i="2" s="1"/>
  <c r="G89" i="2"/>
  <c r="C93" i="2" s="1"/>
  <c r="H89" i="2"/>
  <c r="I89" i="2"/>
  <c r="C95" i="2" s="1"/>
  <c r="A96" i="2"/>
  <c r="B96" i="2"/>
  <c r="D96" i="2"/>
  <c r="C97" i="2" s="1"/>
  <c r="E96" i="2"/>
  <c r="C98" i="2" s="1"/>
  <c r="F96" i="2"/>
  <c r="C99" i="2" s="1"/>
  <c r="G96" i="2"/>
  <c r="C100" i="2" s="1"/>
  <c r="H96" i="2"/>
  <c r="I96" i="2"/>
  <c r="C102" i="2" s="1"/>
  <c r="A103" i="2"/>
  <c r="B103" i="2"/>
  <c r="D103" i="2"/>
  <c r="C104" i="2" s="1"/>
  <c r="E103" i="2"/>
  <c r="C105" i="2" s="1"/>
  <c r="F103" i="2"/>
  <c r="C106" i="2" s="1"/>
  <c r="G103" i="2"/>
  <c r="C107" i="2" s="1"/>
  <c r="H103" i="2"/>
  <c r="I103" i="2"/>
  <c r="C109" i="2" s="1"/>
  <c r="A110" i="2"/>
  <c r="B110" i="2"/>
  <c r="D110" i="2"/>
  <c r="C111" i="2" s="1"/>
  <c r="E110" i="2"/>
  <c r="C112" i="2" s="1"/>
  <c r="F110" i="2"/>
  <c r="C113" i="2" s="1"/>
  <c r="G110" i="2"/>
  <c r="C114" i="2" s="1"/>
  <c r="H110" i="2"/>
  <c r="I110" i="2"/>
  <c r="C116" i="2" s="1"/>
  <c r="A117" i="2"/>
  <c r="B117" i="2"/>
  <c r="D117" i="2"/>
  <c r="C118" i="2" s="1"/>
  <c r="E117" i="2"/>
  <c r="C119" i="2" s="1"/>
  <c r="F117" i="2"/>
  <c r="C120" i="2" s="1"/>
  <c r="G117" i="2"/>
  <c r="C121" i="2" s="1"/>
  <c r="H117" i="2"/>
  <c r="I117" i="2"/>
  <c r="C123" i="2" s="1"/>
  <c r="A124" i="2"/>
  <c r="B124" i="2"/>
  <c r="D124" i="2"/>
  <c r="C125" i="2" s="1"/>
  <c r="E124" i="2"/>
  <c r="C126" i="2" s="1"/>
  <c r="F124" i="2"/>
  <c r="C127" i="2" s="1"/>
  <c r="G124" i="2"/>
  <c r="C128" i="2" s="1"/>
  <c r="H124" i="2"/>
  <c r="I124" i="2"/>
  <c r="C130" i="2" s="1"/>
  <c r="A131" i="2"/>
  <c r="B131" i="2"/>
  <c r="D131" i="2"/>
  <c r="C132" i="2" s="1"/>
  <c r="E131" i="2"/>
  <c r="C133" i="2" s="1"/>
  <c r="F131" i="2"/>
  <c r="C134" i="2" s="1"/>
  <c r="G131" i="2"/>
  <c r="C135" i="2" s="1"/>
  <c r="H131" i="2"/>
  <c r="I131" i="2"/>
  <c r="C137" i="2" s="1"/>
  <c r="A138" i="2"/>
  <c r="B138" i="2"/>
  <c r="D138" i="2"/>
  <c r="C139" i="2" s="1"/>
  <c r="E138" i="2"/>
  <c r="C140" i="2" s="1"/>
  <c r="F138" i="2"/>
  <c r="C141" i="2" s="1"/>
  <c r="G138" i="2"/>
  <c r="C142" i="2" s="1"/>
  <c r="H138" i="2"/>
  <c r="I138" i="2"/>
  <c r="C144" i="2" s="1"/>
  <c r="A145" i="2"/>
  <c r="B145" i="2"/>
  <c r="D145" i="2"/>
  <c r="C146" i="2" s="1"/>
  <c r="E145" i="2"/>
  <c r="C147" i="2" s="1"/>
  <c r="F145" i="2"/>
  <c r="C148" i="2" s="1"/>
  <c r="G145" i="2"/>
  <c r="C149" i="2" s="1"/>
  <c r="H145" i="2"/>
  <c r="I145" i="2"/>
  <c r="C151" i="2" s="1"/>
  <c r="A152" i="2"/>
  <c r="B152" i="2"/>
  <c r="D152" i="2"/>
  <c r="C153" i="2" s="1"/>
  <c r="E152" i="2"/>
  <c r="C154" i="2" s="1"/>
  <c r="F152" i="2"/>
  <c r="C155" i="2" s="1"/>
  <c r="G152" i="2"/>
  <c r="C156" i="2" s="1"/>
  <c r="H152" i="2"/>
  <c r="I152" i="2"/>
  <c r="C158" i="2" s="1"/>
  <c r="A159" i="2"/>
  <c r="B159" i="2"/>
  <c r="D159" i="2"/>
  <c r="C160" i="2" s="1"/>
  <c r="E159" i="2"/>
  <c r="C161" i="2" s="1"/>
  <c r="F159" i="2"/>
  <c r="C162" i="2" s="1"/>
  <c r="G159" i="2"/>
  <c r="C163" i="2" s="1"/>
  <c r="H159" i="2"/>
  <c r="I159" i="2"/>
  <c r="C165" i="2" s="1"/>
  <c r="A166" i="2"/>
  <c r="B166" i="2"/>
  <c r="D166" i="2"/>
  <c r="C167" i="2" s="1"/>
  <c r="E166" i="2"/>
  <c r="C168" i="2" s="1"/>
  <c r="F166" i="2"/>
  <c r="C169" i="2" s="1"/>
  <c r="G166" i="2"/>
  <c r="C170" i="2" s="1"/>
  <c r="H166" i="2"/>
  <c r="I166" i="2"/>
  <c r="C172" i="2" s="1"/>
  <c r="A173" i="2"/>
  <c r="B173" i="2"/>
  <c r="D173" i="2"/>
  <c r="C174" i="2" s="1"/>
  <c r="E173" i="2"/>
  <c r="C175" i="2" s="1"/>
  <c r="F173" i="2"/>
  <c r="C176" i="2" s="1"/>
  <c r="G173" i="2"/>
  <c r="C177" i="2" s="1"/>
  <c r="H173" i="2"/>
  <c r="I173" i="2"/>
  <c r="C179" i="2" s="1"/>
  <c r="A180" i="2"/>
  <c r="B180" i="2"/>
  <c r="D180" i="2"/>
  <c r="C181" i="2" s="1"/>
  <c r="E180" i="2"/>
  <c r="C182" i="2" s="1"/>
  <c r="F180" i="2"/>
  <c r="C183" i="2" s="1"/>
  <c r="G180" i="2"/>
  <c r="C184" i="2" s="1"/>
  <c r="H180" i="2"/>
  <c r="I180" i="2"/>
  <c r="C186" i="2" s="1"/>
  <c r="A187" i="2"/>
  <c r="B187" i="2"/>
  <c r="D187" i="2"/>
  <c r="C188" i="2" s="1"/>
  <c r="E187" i="2"/>
  <c r="C189" i="2" s="1"/>
  <c r="F187" i="2"/>
  <c r="C190" i="2" s="1"/>
  <c r="G187" i="2"/>
  <c r="C191" i="2" s="1"/>
  <c r="H187" i="2"/>
  <c r="I187" i="2"/>
  <c r="C193" i="2" s="1"/>
  <c r="A194" i="2"/>
  <c r="B194" i="2"/>
  <c r="D194" i="2"/>
  <c r="C195" i="2" s="1"/>
  <c r="E194" i="2"/>
  <c r="C196" i="2" s="1"/>
  <c r="F194" i="2"/>
  <c r="C197" i="2" s="1"/>
  <c r="G194" i="2"/>
  <c r="C198" i="2" s="1"/>
  <c r="H194" i="2"/>
  <c r="I194" i="2"/>
  <c r="C200" i="2" s="1"/>
  <c r="A201" i="2"/>
  <c r="B201" i="2"/>
  <c r="D201" i="2"/>
  <c r="C202" i="2" s="1"/>
  <c r="E201" i="2"/>
  <c r="C203" i="2" s="1"/>
  <c r="F201" i="2"/>
  <c r="C204" i="2" s="1"/>
  <c r="G201" i="2"/>
  <c r="C205" i="2" s="1"/>
  <c r="H201" i="2"/>
  <c r="I201" i="2"/>
  <c r="C207" i="2" s="1"/>
  <c r="A208" i="2"/>
  <c r="B208" i="2"/>
  <c r="D208" i="2"/>
  <c r="C209" i="2" s="1"/>
  <c r="E208" i="2"/>
  <c r="C210" i="2" s="1"/>
  <c r="F208" i="2"/>
  <c r="C211" i="2" s="1"/>
  <c r="G208" i="2"/>
  <c r="C212" i="2" s="1"/>
  <c r="H208" i="2"/>
  <c r="I208" i="2"/>
  <c r="C214" i="2" s="1"/>
  <c r="A215" i="2"/>
  <c r="B215" i="2"/>
  <c r="D215" i="2"/>
  <c r="C216" i="2" s="1"/>
  <c r="E215" i="2"/>
  <c r="C217" i="2" s="1"/>
  <c r="F215" i="2"/>
  <c r="C218" i="2" s="1"/>
  <c r="G215" i="2"/>
  <c r="C219" i="2" s="1"/>
  <c r="H215" i="2"/>
  <c r="I215" i="2"/>
  <c r="C221" i="2" s="1"/>
  <c r="A222" i="2"/>
  <c r="B222" i="2"/>
  <c r="D222" i="2"/>
  <c r="C223" i="2" s="1"/>
  <c r="E222" i="2"/>
  <c r="C224" i="2" s="1"/>
  <c r="F222" i="2"/>
  <c r="C225" i="2" s="1"/>
  <c r="G222" i="2"/>
  <c r="C226" i="2" s="1"/>
  <c r="H222" i="2"/>
  <c r="I222" i="2"/>
  <c r="C228" i="2" s="1"/>
  <c r="A229" i="2"/>
  <c r="B229" i="2"/>
  <c r="D229" i="2"/>
  <c r="C230" i="2" s="1"/>
  <c r="E229" i="2"/>
  <c r="C231" i="2" s="1"/>
  <c r="F229" i="2"/>
  <c r="C232" i="2" s="1"/>
  <c r="G229" i="2"/>
  <c r="C233" i="2" s="1"/>
  <c r="H229" i="2"/>
  <c r="I229" i="2"/>
  <c r="C235" i="2" s="1"/>
  <c r="A236" i="2"/>
  <c r="B236" i="2"/>
  <c r="D236" i="2"/>
  <c r="C237" i="2" s="1"/>
  <c r="E236" i="2"/>
  <c r="C238" i="2" s="1"/>
  <c r="F236" i="2"/>
  <c r="C239" i="2" s="1"/>
  <c r="G236" i="2"/>
  <c r="C240" i="2" s="1"/>
  <c r="H236" i="2"/>
  <c r="I236" i="2"/>
  <c r="C242" i="2" s="1"/>
  <c r="A243" i="2"/>
  <c r="B243" i="2"/>
  <c r="D243" i="2"/>
  <c r="C244" i="2" s="1"/>
  <c r="E243" i="2"/>
  <c r="C245" i="2" s="1"/>
  <c r="F243" i="2"/>
  <c r="C246" i="2" s="1"/>
  <c r="G243" i="2"/>
  <c r="C247" i="2" s="1"/>
  <c r="H243" i="2"/>
  <c r="I243" i="2"/>
  <c r="C249" i="2" s="1"/>
  <c r="A250" i="2"/>
  <c r="B250" i="2"/>
  <c r="D250" i="2"/>
  <c r="C251" i="2" s="1"/>
  <c r="E250" i="2"/>
  <c r="C252" i="2" s="1"/>
  <c r="F250" i="2"/>
  <c r="C253" i="2" s="1"/>
  <c r="G250" i="2"/>
  <c r="C254" i="2" s="1"/>
  <c r="H250" i="2"/>
  <c r="I250" i="2"/>
  <c r="C256" i="2" s="1"/>
  <c r="A257" i="2"/>
  <c r="B257" i="2"/>
  <c r="D257" i="2"/>
  <c r="C258" i="2" s="1"/>
  <c r="E257" i="2"/>
  <c r="C259" i="2" s="1"/>
  <c r="F257" i="2"/>
  <c r="C260" i="2" s="1"/>
  <c r="G257" i="2"/>
  <c r="C261" i="2" s="1"/>
  <c r="H257" i="2"/>
  <c r="I257" i="2"/>
  <c r="C263" i="2" s="1"/>
  <c r="A264" i="2"/>
  <c r="B264" i="2"/>
  <c r="D264" i="2"/>
  <c r="C265" i="2" s="1"/>
  <c r="E264" i="2"/>
  <c r="C266" i="2" s="1"/>
  <c r="F264" i="2"/>
  <c r="C267" i="2" s="1"/>
  <c r="G264" i="2"/>
  <c r="C268" i="2" s="1"/>
  <c r="H264" i="2"/>
  <c r="I264" i="2"/>
  <c r="C270" i="2" s="1"/>
  <c r="A271" i="2"/>
  <c r="B271" i="2"/>
  <c r="D271" i="2"/>
  <c r="C272" i="2" s="1"/>
  <c r="E271" i="2"/>
  <c r="C273" i="2" s="1"/>
  <c r="F271" i="2"/>
  <c r="C274" i="2" s="1"/>
  <c r="G271" i="2"/>
  <c r="C275" i="2" s="1"/>
  <c r="H271" i="2"/>
  <c r="I271" i="2"/>
  <c r="C277" i="2" s="1"/>
  <c r="A278" i="2"/>
  <c r="B278" i="2"/>
  <c r="D278" i="2"/>
  <c r="C279" i="2" s="1"/>
  <c r="E278" i="2"/>
  <c r="C280" i="2" s="1"/>
  <c r="F278" i="2"/>
  <c r="C281" i="2" s="1"/>
  <c r="G278" i="2"/>
  <c r="C282" i="2" s="1"/>
  <c r="H278" i="2"/>
  <c r="I278" i="2"/>
  <c r="C284" i="2" s="1"/>
  <c r="A285" i="2"/>
  <c r="B285" i="2"/>
  <c r="D285" i="2"/>
  <c r="C286" i="2" s="1"/>
  <c r="E285" i="2"/>
  <c r="C287" i="2" s="1"/>
  <c r="F285" i="2"/>
  <c r="C288" i="2" s="1"/>
  <c r="G285" i="2"/>
  <c r="C289" i="2" s="1"/>
  <c r="H285" i="2"/>
  <c r="I285" i="2"/>
  <c r="C291" i="2" s="1"/>
  <c r="A292" i="2"/>
  <c r="B292" i="2"/>
  <c r="D292" i="2"/>
  <c r="C293" i="2" s="1"/>
  <c r="E292" i="2"/>
  <c r="C294" i="2" s="1"/>
  <c r="F292" i="2"/>
  <c r="C295" i="2" s="1"/>
  <c r="G292" i="2"/>
  <c r="C296" i="2" s="1"/>
  <c r="H292" i="2"/>
  <c r="I292" i="2"/>
  <c r="C298" i="2" s="1"/>
  <c r="A299" i="2"/>
  <c r="B299" i="2"/>
  <c r="D299" i="2"/>
  <c r="C300" i="2" s="1"/>
  <c r="E299" i="2"/>
  <c r="C301" i="2" s="1"/>
  <c r="F299" i="2"/>
  <c r="C302" i="2" s="1"/>
  <c r="G299" i="2"/>
  <c r="C303" i="2" s="1"/>
  <c r="H299" i="2"/>
  <c r="I299" i="2"/>
  <c r="C305" i="2" s="1"/>
  <c r="A306" i="2"/>
  <c r="B306" i="2"/>
  <c r="D306" i="2"/>
  <c r="C307" i="2" s="1"/>
  <c r="E306" i="2"/>
  <c r="C308" i="2" s="1"/>
  <c r="F306" i="2"/>
  <c r="C309" i="2" s="1"/>
  <c r="G306" i="2"/>
  <c r="C310" i="2" s="1"/>
  <c r="H306" i="2"/>
  <c r="I306" i="2"/>
  <c r="C312" i="2" s="1"/>
  <c r="A313" i="2"/>
  <c r="B313" i="2"/>
  <c r="D313" i="2"/>
  <c r="C314" i="2" s="1"/>
  <c r="E313" i="2"/>
  <c r="C315" i="2" s="1"/>
  <c r="F313" i="2"/>
  <c r="C316" i="2" s="1"/>
  <c r="G313" i="2"/>
  <c r="C317" i="2" s="1"/>
  <c r="H313" i="2"/>
  <c r="I313" i="2"/>
  <c r="C319" i="2" s="1"/>
  <c r="A320" i="2"/>
  <c r="B320" i="2"/>
  <c r="D320" i="2"/>
  <c r="C321" i="2" s="1"/>
  <c r="E320" i="2"/>
  <c r="C322" i="2" s="1"/>
  <c r="F320" i="2"/>
  <c r="C323" i="2" s="1"/>
  <c r="G320" i="2"/>
  <c r="C324" i="2" s="1"/>
  <c r="H320" i="2"/>
  <c r="I320" i="2"/>
  <c r="C326" i="2" s="1"/>
  <c r="A327" i="2"/>
  <c r="B327" i="2"/>
  <c r="D327" i="2"/>
  <c r="C328" i="2" s="1"/>
  <c r="E327" i="2"/>
  <c r="C329" i="2" s="1"/>
  <c r="F327" i="2"/>
  <c r="C330" i="2" s="1"/>
  <c r="G327" i="2"/>
  <c r="C331" i="2" s="1"/>
  <c r="H327" i="2"/>
  <c r="I327" i="2"/>
  <c r="C333" i="2" s="1"/>
  <c r="A334" i="2"/>
  <c r="B334" i="2"/>
  <c r="D334" i="2"/>
  <c r="C335" i="2" s="1"/>
  <c r="E334" i="2"/>
  <c r="C336" i="2" s="1"/>
  <c r="F334" i="2"/>
  <c r="C337" i="2" s="1"/>
  <c r="G334" i="2"/>
  <c r="C338" i="2" s="1"/>
  <c r="H334" i="2"/>
  <c r="I334" i="2"/>
  <c r="C340" i="2" s="1"/>
  <c r="A341" i="2"/>
  <c r="B341" i="2"/>
  <c r="D341" i="2"/>
  <c r="C342" i="2" s="1"/>
  <c r="E341" i="2"/>
  <c r="C343" i="2" s="1"/>
  <c r="F341" i="2"/>
  <c r="C344" i="2" s="1"/>
  <c r="G341" i="2"/>
  <c r="C345" i="2" s="1"/>
  <c r="H341" i="2"/>
  <c r="I341" i="2"/>
  <c r="C347" i="2" s="1"/>
  <c r="A348" i="2"/>
  <c r="B348" i="2"/>
  <c r="D348" i="2"/>
  <c r="C349" i="2" s="1"/>
  <c r="E348" i="2"/>
  <c r="C350" i="2" s="1"/>
  <c r="F348" i="2"/>
  <c r="C351" i="2" s="1"/>
  <c r="G348" i="2"/>
  <c r="C352" i="2" s="1"/>
  <c r="H348" i="2"/>
  <c r="I348" i="2"/>
  <c r="C354" i="2" s="1"/>
  <c r="A355" i="2"/>
  <c r="B355" i="2"/>
  <c r="D355" i="2"/>
  <c r="C356" i="2" s="1"/>
  <c r="E355" i="2"/>
  <c r="C357" i="2" s="1"/>
  <c r="F355" i="2"/>
  <c r="C358" i="2" s="1"/>
  <c r="G355" i="2"/>
  <c r="C359" i="2" s="1"/>
  <c r="H355" i="2"/>
  <c r="I355" i="2"/>
  <c r="C361" i="2" s="1"/>
  <c r="A362" i="2"/>
  <c r="B362" i="2"/>
  <c r="D362" i="2"/>
  <c r="C363" i="2" s="1"/>
  <c r="E362" i="2"/>
  <c r="C364" i="2" s="1"/>
  <c r="F362" i="2"/>
  <c r="C365" i="2" s="1"/>
  <c r="G362" i="2"/>
  <c r="C366" i="2" s="1"/>
  <c r="H362" i="2"/>
  <c r="I362" i="2"/>
  <c r="C368" i="2" s="1"/>
  <c r="A369" i="2"/>
  <c r="B369" i="2"/>
  <c r="D369" i="2"/>
  <c r="C370" i="2" s="1"/>
  <c r="E369" i="2"/>
  <c r="C371" i="2" s="1"/>
  <c r="F369" i="2"/>
  <c r="C372" i="2" s="1"/>
  <c r="G369" i="2"/>
  <c r="C373" i="2" s="1"/>
  <c r="H369" i="2"/>
  <c r="I369" i="2"/>
  <c r="C375" i="2" s="1"/>
  <c r="A376" i="2"/>
  <c r="B376" i="2"/>
  <c r="D376" i="2"/>
  <c r="C377" i="2" s="1"/>
  <c r="E376" i="2"/>
  <c r="C378" i="2" s="1"/>
  <c r="F376" i="2"/>
  <c r="C379" i="2" s="1"/>
  <c r="G376" i="2"/>
  <c r="C380" i="2" s="1"/>
  <c r="H376" i="2"/>
  <c r="I376" i="2"/>
  <c r="C382" i="2" s="1"/>
  <c r="A383" i="2"/>
  <c r="B383" i="2"/>
  <c r="D383" i="2"/>
  <c r="C384" i="2" s="1"/>
  <c r="E383" i="2"/>
  <c r="C385" i="2" s="1"/>
  <c r="F383" i="2"/>
  <c r="C386" i="2" s="1"/>
  <c r="G383" i="2"/>
  <c r="C387" i="2" s="1"/>
  <c r="H383" i="2"/>
  <c r="I383" i="2"/>
  <c r="C389" i="2" s="1"/>
  <c r="A390" i="2"/>
  <c r="B390" i="2"/>
  <c r="D390" i="2"/>
  <c r="C391" i="2" s="1"/>
  <c r="E390" i="2"/>
  <c r="C392" i="2" s="1"/>
  <c r="F390" i="2"/>
  <c r="C393" i="2" s="1"/>
  <c r="G390" i="2"/>
  <c r="C394" i="2" s="1"/>
  <c r="H390" i="2"/>
  <c r="I390" i="2"/>
  <c r="C396" i="2" s="1"/>
  <c r="A397" i="2"/>
  <c r="B397" i="2"/>
  <c r="D397" i="2"/>
  <c r="C398" i="2" s="1"/>
  <c r="E397" i="2"/>
  <c r="C399" i="2" s="1"/>
  <c r="F397" i="2"/>
  <c r="C400" i="2" s="1"/>
  <c r="G397" i="2"/>
  <c r="C401" i="2" s="1"/>
  <c r="H397" i="2"/>
  <c r="I397" i="2"/>
  <c r="C403" i="2" s="1"/>
  <c r="A404" i="2"/>
  <c r="B404" i="2"/>
  <c r="D404" i="2"/>
  <c r="C405" i="2" s="1"/>
  <c r="E404" i="2"/>
  <c r="C406" i="2" s="1"/>
  <c r="F404" i="2"/>
  <c r="C407" i="2" s="1"/>
  <c r="G404" i="2"/>
  <c r="C408" i="2" s="1"/>
  <c r="H404" i="2"/>
  <c r="I404" i="2"/>
  <c r="C410" i="2" s="1"/>
  <c r="A411" i="2"/>
  <c r="B411" i="2"/>
  <c r="D411" i="2"/>
  <c r="C412" i="2" s="1"/>
  <c r="E411" i="2"/>
  <c r="C413" i="2" s="1"/>
  <c r="F411" i="2"/>
  <c r="C414" i="2" s="1"/>
  <c r="G411" i="2"/>
  <c r="C415" i="2" s="1"/>
  <c r="H411" i="2"/>
  <c r="I411" i="2"/>
  <c r="C417" i="2" s="1"/>
  <c r="A418" i="2"/>
  <c r="B418" i="2"/>
  <c r="D418" i="2"/>
  <c r="C419" i="2" s="1"/>
  <c r="E418" i="2"/>
  <c r="C420" i="2" s="1"/>
  <c r="F418" i="2"/>
  <c r="C421" i="2" s="1"/>
  <c r="G418" i="2"/>
  <c r="C422" i="2" s="1"/>
  <c r="H418" i="2"/>
  <c r="I418" i="2"/>
  <c r="C424" i="2" s="1"/>
  <c r="A425" i="2"/>
  <c r="B425" i="2"/>
  <c r="D425" i="2"/>
  <c r="C426" i="2" s="1"/>
  <c r="E425" i="2"/>
  <c r="C427" i="2" s="1"/>
  <c r="F425" i="2"/>
  <c r="C428" i="2" s="1"/>
  <c r="G425" i="2"/>
  <c r="C429" i="2" s="1"/>
  <c r="H425" i="2"/>
  <c r="I425" i="2"/>
  <c r="C431" i="2" s="1"/>
  <c r="A432" i="2"/>
  <c r="B432" i="2"/>
  <c r="D432" i="2"/>
  <c r="C433" i="2" s="1"/>
  <c r="E432" i="2"/>
  <c r="C434" i="2" s="1"/>
  <c r="F432" i="2"/>
  <c r="C435" i="2" s="1"/>
  <c r="G432" i="2"/>
  <c r="C436" i="2" s="1"/>
  <c r="H432" i="2"/>
  <c r="I432" i="2"/>
  <c r="C438" i="2" s="1"/>
  <c r="A439" i="2"/>
  <c r="B439" i="2"/>
  <c r="D439" i="2"/>
  <c r="C440" i="2" s="1"/>
  <c r="E439" i="2"/>
  <c r="C441" i="2" s="1"/>
  <c r="F439" i="2"/>
  <c r="C442" i="2" s="1"/>
  <c r="G439" i="2"/>
  <c r="C443" i="2" s="1"/>
  <c r="H439" i="2"/>
  <c r="I439" i="2"/>
  <c r="C445" i="2" s="1"/>
  <c r="A446" i="2"/>
  <c r="B446" i="2"/>
  <c r="D446" i="2"/>
  <c r="C447" i="2" s="1"/>
  <c r="E446" i="2"/>
  <c r="C448" i="2" s="1"/>
  <c r="F446" i="2"/>
  <c r="C449" i="2" s="1"/>
  <c r="G446" i="2"/>
  <c r="C450" i="2" s="1"/>
  <c r="H446" i="2"/>
  <c r="I446" i="2"/>
  <c r="C452" i="2" s="1"/>
  <c r="A453" i="2"/>
  <c r="B453" i="2"/>
  <c r="D453" i="2"/>
  <c r="C454" i="2" s="1"/>
  <c r="E453" i="2"/>
  <c r="C455" i="2" s="1"/>
  <c r="F453" i="2"/>
  <c r="C456" i="2" s="1"/>
  <c r="G453" i="2"/>
  <c r="C457" i="2" s="1"/>
  <c r="H453" i="2"/>
  <c r="I453" i="2"/>
  <c r="C459" i="2" s="1"/>
  <c r="A460" i="2"/>
  <c r="B460" i="2"/>
  <c r="D460" i="2"/>
  <c r="C461" i="2" s="1"/>
  <c r="E460" i="2"/>
  <c r="C462" i="2" s="1"/>
  <c r="F460" i="2"/>
  <c r="C463" i="2" s="1"/>
  <c r="G460" i="2"/>
  <c r="C464" i="2" s="1"/>
  <c r="H460" i="2"/>
  <c r="I460" i="2"/>
  <c r="C466" i="2" s="1"/>
  <c r="A467" i="2"/>
  <c r="B467" i="2"/>
  <c r="D467" i="2"/>
  <c r="C468" i="2" s="1"/>
  <c r="E467" i="2"/>
  <c r="C469" i="2" s="1"/>
  <c r="F467" i="2"/>
  <c r="C470" i="2" s="1"/>
  <c r="G467" i="2"/>
  <c r="C471" i="2" s="1"/>
  <c r="H467" i="2"/>
  <c r="I467" i="2"/>
  <c r="C473" i="2" s="1"/>
  <c r="A474" i="2"/>
  <c r="B474" i="2"/>
  <c r="D474" i="2"/>
  <c r="C475" i="2" s="1"/>
  <c r="E474" i="2"/>
  <c r="C476" i="2" s="1"/>
  <c r="F474" i="2"/>
  <c r="C477" i="2" s="1"/>
  <c r="G474" i="2"/>
  <c r="C478" i="2" s="1"/>
  <c r="H474" i="2"/>
  <c r="I474" i="2"/>
  <c r="C480" i="2" s="1"/>
  <c r="A481" i="2"/>
  <c r="B481" i="2"/>
  <c r="D481" i="2"/>
  <c r="C482" i="2" s="1"/>
  <c r="E481" i="2"/>
  <c r="C483" i="2" s="1"/>
  <c r="F481" i="2"/>
  <c r="C484" i="2" s="1"/>
  <c r="G481" i="2"/>
  <c r="C485" i="2" s="1"/>
  <c r="H481" i="2"/>
  <c r="I481" i="2"/>
  <c r="C487" i="2" s="1"/>
  <c r="A488" i="2"/>
  <c r="B488" i="2"/>
  <c r="D488" i="2"/>
  <c r="C489" i="2" s="1"/>
  <c r="E488" i="2"/>
  <c r="C490" i="2" s="1"/>
  <c r="F488" i="2"/>
  <c r="C491" i="2" s="1"/>
  <c r="G488" i="2"/>
  <c r="C492" i="2" s="1"/>
  <c r="H488" i="2"/>
  <c r="I488" i="2"/>
  <c r="C494" i="2" s="1"/>
  <c r="A495" i="2"/>
  <c r="B495" i="2"/>
  <c r="D495" i="2"/>
  <c r="C496" i="2" s="1"/>
  <c r="E495" i="2"/>
  <c r="C497" i="2" s="1"/>
  <c r="F495" i="2"/>
  <c r="C498" i="2" s="1"/>
  <c r="G495" i="2"/>
  <c r="C499" i="2" s="1"/>
  <c r="H495" i="2"/>
  <c r="I495" i="2"/>
  <c r="C501" i="2" s="1"/>
  <c r="A502" i="2"/>
  <c r="B502" i="2"/>
  <c r="D502" i="2"/>
  <c r="C503" i="2" s="1"/>
  <c r="E502" i="2"/>
  <c r="C504" i="2" s="1"/>
  <c r="F502" i="2"/>
  <c r="C505" i="2" s="1"/>
  <c r="G502" i="2"/>
  <c r="C506" i="2" s="1"/>
  <c r="H502" i="2"/>
  <c r="I502" i="2"/>
  <c r="C508" i="2" s="1"/>
  <c r="A509" i="2"/>
  <c r="B509" i="2"/>
  <c r="D509" i="2"/>
  <c r="C510" i="2" s="1"/>
  <c r="E509" i="2"/>
  <c r="C511" i="2" s="1"/>
  <c r="F509" i="2"/>
  <c r="C512" i="2" s="1"/>
  <c r="G509" i="2"/>
  <c r="C513" i="2" s="1"/>
  <c r="H509" i="2"/>
  <c r="I509" i="2"/>
  <c r="C515" i="2" s="1"/>
  <c r="A516" i="2"/>
  <c r="B516" i="2"/>
  <c r="D516" i="2"/>
  <c r="C517" i="2" s="1"/>
  <c r="E516" i="2"/>
  <c r="C518" i="2" s="1"/>
  <c r="F516" i="2"/>
  <c r="C519" i="2" s="1"/>
  <c r="G516" i="2"/>
  <c r="C520" i="2" s="1"/>
  <c r="H516" i="2"/>
  <c r="I516" i="2"/>
  <c r="C522" i="2" s="1"/>
  <c r="A523" i="2"/>
  <c r="B523" i="2"/>
  <c r="D523" i="2"/>
  <c r="C524" i="2" s="1"/>
  <c r="E523" i="2"/>
  <c r="C525" i="2" s="1"/>
  <c r="F523" i="2"/>
  <c r="C526" i="2" s="1"/>
  <c r="G523" i="2"/>
  <c r="C527" i="2" s="1"/>
  <c r="H523" i="2"/>
  <c r="I523" i="2"/>
  <c r="C529" i="2" s="1"/>
  <c r="A530" i="2"/>
  <c r="B530" i="2"/>
  <c r="D530" i="2"/>
  <c r="C531" i="2" s="1"/>
  <c r="E530" i="2"/>
  <c r="C532" i="2" s="1"/>
  <c r="F530" i="2"/>
  <c r="C533" i="2" s="1"/>
  <c r="G530" i="2"/>
  <c r="C534" i="2" s="1"/>
  <c r="H530" i="2"/>
  <c r="I530" i="2"/>
  <c r="C536" i="2" s="1"/>
  <c r="A537" i="2"/>
  <c r="B537" i="2"/>
  <c r="D537" i="2"/>
  <c r="C538" i="2" s="1"/>
  <c r="E537" i="2"/>
  <c r="C539" i="2" s="1"/>
  <c r="F537" i="2"/>
  <c r="C540" i="2" s="1"/>
  <c r="G537" i="2"/>
  <c r="C541" i="2" s="1"/>
  <c r="H537" i="2"/>
  <c r="I537" i="2"/>
  <c r="C543" i="2" s="1"/>
  <c r="A544" i="2"/>
  <c r="B544" i="2"/>
  <c r="D544" i="2"/>
  <c r="C545" i="2" s="1"/>
  <c r="E544" i="2"/>
  <c r="C546" i="2" s="1"/>
  <c r="F544" i="2"/>
  <c r="C547" i="2" s="1"/>
  <c r="G544" i="2"/>
  <c r="C548" i="2" s="1"/>
  <c r="H544" i="2"/>
  <c r="I544" i="2"/>
  <c r="C550" i="2" s="1"/>
  <c r="A551" i="2"/>
  <c r="B551" i="2"/>
  <c r="D551" i="2"/>
  <c r="C552" i="2" s="1"/>
  <c r="E551" i="2"/>
  <c r="C553" i="2" s="1"/>
  <c r="F551" i="2"/>
  <c r="C554" i="2" s="1"/>
  <c r="G551" i="2"/>
  <c r="C555" i="2" s="1"/>
  <c r="H551" i="2"/>
  <c r="I551" i="2"/>
  <c r="C557" i="2" s="1"/>
  <c r="A558" i="2"/>
  <c r="B558" i="2"/>
  <c r="D558" i="2"/>
  <c r="C559" i="2" s="1"/>
  <c r="E558" i="2"/>
  <c r="C560" i="2" s="1"/>
  <c r="F558" i="2"/>
  <c r="C561" i="2" s="1"/>
  <c r="G558" i="2"/>
  <c r="C562" i="2" s="1"/>
  <c r="H558" i="2"/>
  <c r="C563" i="2" s="1"/>
  <c r="I558" i="2"/>
  <c r="C564" i="2" s="1"/>
  <c r="A565" i="2"/>
  <c r="B565" i="2"/>
  <c r="D565" i="2"/>
  <c r="C566" i="2" s="1"/>
  <c r="E565" i="2"/>
  <c r="C567" i="2" s="1"/>
  <c r="F565" i="2"/>
  <c r="C568" i="2" s="1"/>
  <c r="G565" i="2"/>
  <c r="C569" i="2" s="1"/>
  <c r="H565" i="2"/>
  <c r="I565" i="2"/>
  <c r="C571" i="2" s="1"/>
  <c r="A572" i="2"/>
  <c r="B572" i="2"/>
  <c r="D572" i="2"/>
  <c r="C573" i="2" s="1"/>
  <c r="E572" i="2"/>
  <c r="C574" i="2" s="1"/>
  <c r="F572" i="2"/>
  <c r="C575" i="2" s="1"/>
  <c r="G572" i="2"/>
  <c r="C576" i="2" s="1"/>
  <c r="H572" i="2"/>
  <c r="I572" i="2"/>
  <c r="C578" i="2" s="1"/>
  <c r="A579" i="2"/>
  <c r="B579" i="2"/>
  <c r="D579" i="2"/>
  <c r="C580" i="2" s="1"/>
  <c r="E579" i="2"/>
  <c r="C581" i="2" s="1"/>
  <c r="F579" i="2"/>
  <c r="C582" i="2" s="1"/>
  <c r="G579" i="2"/>
  <c r="C583" i="2" s="1"/>
  <c r="H579" i="2"/>
  <c r="I579" i="2"/>
  <c r="C585" i="2" s="1"/>
  <c r="A586" i="2"/>
  <c r="B586" i="2"/>
  <c r="D586" i="2"/>
  <c r="C587" i="2" s="1"/>
  <c r="E586" i="2"/>
  <c r="C588" i="2" s="1"/>
  <c r="F586" i="2"/>
  <c r="C589" i="2" s="1"/>
  <c r="G586" i="2"/>
  <c r="C590" i="2" s="1"/>
  <c r="H586" i="2"/>
  <c r="C591" i="2" s="1"/>
  <c r="I586" i="2"/>
  <c r="C592" i="2" s="1"/>
  <c r="A593" i="2"/>
  <c r="B593" i="2"/>
  <c r="D593" i="2"/>
  <c r="C594" i="2" s="1"/>
  <c r="E593" i="2"/>
  <c r="C595" i="2" s="1"/>
  <c r="F593" i="2"/>
  <c r="C596" i="2" s="1"/>
  <c r="G593" i="2"/>
  <c r="C597" i="2" s="1"/>
  <c r="H593" i="2"/>
  <c r="C598" i="2" s="1"/>
  <c r="I593" i="2"/>
  <c r="C599" i="2" s="1"/>
  <c r="A19" i="2"/>
  <c r="B19" i="2"/>
  <c r="D19" i="2"/>
  <c r="C20" i="2" s="1"/>
  <c r="E19" i="2"/>
  <c r="C21" i="2" s="1"/>
  <c r="F19" i="2"/>
  <c r="C22" i="2" s="1"/>
  <c r="G19" i="2"/>
  <c r="C23" i="2" s="1"/>
  <c r="H19" i="2"/>
  <c r="I19" i="2"/>
  <c r="C25" i="2" s="1"/>
  <c r="A26" i="2"/>
  <c r="B26" i="2"/>
  <c r="D26" i="2"/>
  <c r="C27" i="2" s="1"/>
  <c r="E26" i="2"/>
  <c r="C28" i="2" s="1"/>
  <c r="F26" i="2"/>
  <c r="C29" i="2" s="1"/>
  <c r="G26" i="2"/>
  <c r="C30" i="2" s="1"/>
  <c r="H26" i="2"/>
  <c r="I26" i="2"/>
  <c r="C32" i="2" s="1"/>
  <c r="A33" i="2"/>
  <c r="B33" i="2"/>
  <c r="D33" i="2"/>
  <c r="C34" i="2" s="1"/>
  <c r="E33" i="2"/>
  <c r="C35" i="2" s="1"/>
  <c r="F33" i="2"/>
  <c r="C36" i="2" s="1"/>
  <c r="G33" i="2"/>
  <c r="C37" i="2" s="1"/>
  <c r="H33" i="2"/>
  <c r="I33" i="2"/>
  <c r="C39" i="2" s="1"/>
  <c r="D12" i="2"/>
  <c r="C13" i="2" s="1"/>
  <c r="E12" i="2"/>
  <c r="C14" i="2" s="1"/>
  <c r="F12" i="2"/>
  <c r="C15" i="2" s="1"/>
  <c r="G12" i="2"/>
  <c r="C16" i="2" s="1"/>
  <c r="H12" i="2"/>
  <c r="I12" i="2"/>
  <c r="C18" i="2" s="1"/>
  <c r="B12" i="2"/>
  <c r="A12" i="2"/>
  <c r="I5" i="2"/>
  <c r="C11" i="2" s="1"/>
  <c r="H5" i="2"/>
  <c r="E5" i="2"/>
  <c r="C7" i="2" s="1"/>
  <c r="F5" i="2"/>
  <c r="C8" i="2" s="1"/>
  <c r="G5" i="2"/>
  <c r="C9" i="2" s="1"/>
  <c r="D5" i="2"/>
  <c r="C6" i="2" s="1"/>
  <c r="B5" i="2"/>
  <c r="A5" i="2"/>
  <c r="C584" i="2" l="1"/>
  <c r="C577" i="2"/>
  <c r="C556" i="2"/>
  <c r="C542" i="2"/>
  <c r="C570" i="2"/>
  <c r="C535" i="2"/>
  <c r="C549" i="2"/>
  <c r="C528" i="2"/>
  <c r="C521" i="2"/>
  <c r="C493" i="2"/>
  <c r="C479" i="2"/>
  <c r="C465" i="2"/>
  <c r="C514" i="2"/>
  <c r="C500" i="2"/>
  <c r="C458" i="2"/>
  <c r="C444" i="2"/>
  <c r="C430" i="2"/>
  <c r="C416" i="2"/>
  <c r="C507" i="2"/>
  <c r="C486" i="2"/>
  <c r="C472" i="2"/>
  <c r="C451" i="2"/>
  <c r="C437" i="2"/>
  <c r="C423" i="2"/>
  <c r="C409" i="2"/>
  <c r="C388" i="2"/>
  <c r="C374" i="2"/>
  <c r="C346" i="2"/>
  <c r="C290" i="2"/>
  <c r="C381" i="2"/>
  <c r="C402" i="2"/>
  <c r="C395" i="2"/>
  <c r="C367" i="2"/>
  <c r="C360" i="2"/>
  <c r="C353" i="2"/>
  <c r="C318" i="2"/>
  <c r="C339" i="2"/>
  <c r="C325" i="2"/>
  <c r="C332" i="2"/>
  <c r="C311" i="2"/>
  <c r="C54" i="2"/>
  <c r="C304" i="2"/>
  <c r="C297" i="2"/>
  <c r="C283" i="2"/>
  <c r="C276" i="2"/>
  <c r="C269" i="2"/>
  <c r="C262" i="2"/>
  <c r="C248" i="2"/>
  <c r="C220" i="2"/>
  <c r="C178" i="2"/>
  <c r="C227" i="2"/>
  <c r="C206" i="2"/>
  <c r="C255" i="2"/>
  <c r="C241" i="2"/>
  <c r="C234" i="2"/>
  <c r="C213" i="2"/>
  <c r="C145" i="2"/>
  <c r="C192" i="2"/>
  <c r="C187" i="2"/>
  <c r="C61" i="2"/>
  <c r="C199" i="2"/>
  <c r="C185" i="2"/>
  <c r="C171" i="2"/>
  <c r="C164" i="2"/>
  <c r="C143" i="2"/>
  <c r="C157" i="2"/>
  <c r="C129" i="2"/>
  <c r="C150" i="2"/>
  <c r="C355" i="2"/>
  <c r="C229" i="2"/>
  <c r="C136" i="2"/>
  <c r="C299" i="2"/>
  <c r="C17" i="2"/>
  <c r="C52" i="2"/>
  <c r="C115" i="2"/>
  <c r="C59" i="2"/>
  <c r="C122" i="2"/>
  <c r="C108" i="2"/>
  <c r="C94" i="2"/>
  <c r="C75" i="2"/>
  <c r="C572" i="2"/>
  <c r="C101" i="2"/>
  <c r="C453" i="2"/>
  <c r="C80" i="2"/>
  <c r="C87" i="2"/>
  <c r="C68" i="2"/>
  <c r="C73" i="2"/>
  <c r="C460" i="2"/>
  <c r="C530" i="2"/>
  <c r="C348" i="2"/>
  <c r="C250" i="2"/>
  <c r="C236" i="2"/>
  <c r="C12" i="2"/>
  <c r="C66" i="2"/>
  <c r="C579" i="2"/>
  <c r="C166" i="2"/>
  <c r="C369" i="2"/>
  <c r="C45" i="2"/>
  <c r="C138" i="2"/>
  <c r="C439" i="2"/>
  <c r="C523" i="2"/>
  <c r="C341" i="2"/>
  <c r="C327" i="2"/>
  <c r="C516" i="2"/>
  <c r="C474" i="2"/>
  <c r="C131" i="2"/>
  <c r="C117" i="2"/>
  <c r="C278" i="2"/>
  <c r="C38" i="2"/>
  <c r="C411" i="2"/>
  <c r="C124" i="2"/>
  <c r="C257" i="2"/>
  <c r="C418" i="2"/>
  <c r="C404" i="2"/>
  <c r="C565" i="2"/>
  <c r="C551" i="2"/>
  <c r="C31" i="2"/>
  <c r="C243" i="2"/>
  <c r="C110" i="2"/>
  <c r="C362" i="2"/>
  <c r="C467" i="2"/>
  <c r="C33" i="2"/>
  <c r="C82" i="2"/>
  <c r="C19" i="2"/>
  <c r="C24" i="2"/>
  <c r="C586" i="2"/>
  <c r="C215" i="2"/>
  <c r="C201" i="2"/>
  <c r="C306" i="2"/>
  <c r="C292" i="2"/>
  <c r="C397" i="2"/>
  <c r="C502" i="2"/>
  <c r="C488" i="2"/>
  <c r="C40" i="2"/>
  <c r="C103" i="2"/>
  <c r="C89" i="2"/>
  <c r="C593" i="2"/>
  <c r="C194" i="2"/>
  <c r="C180" i="2"/>
  <c r="C285" i="2"/>
  <c r="C390" i="2"/>
  <c r="C376" i="2"/>
  <c r="C481" i="2"/>
  <c r="C47" i="2"/>
  <c r="C537" i="2"/>
  <c r="C446" i="2"/>
  <c r="C432" i="2"/>
  <c r="C509" i="2"/>
  <c r="C313" i="2"/>
  <c r="C222" i="2"/>
  <c r="C495" i="2"/>
  <c r="C208" i="2"/>
  <c r="C96" i="2"/>
  <c r="C173" i="2"/>
  <c r="C159" i="2"/>
  <c r="C271" i="2"/>
  <c r="C544" i="2"/>
  <c r="C383" i="2"/>
  <c r="C264" i="2"/>
  <c r="C152" i="2"/>
  <c r="C558" i="2"/>
  <c r="C26" i="2"/>
  <c r="C425" i="2"/>
  <c r="C334" i="2"/>
  <c r="C320" i="2"/>
  <c r="C10" i="2"/>
  <c r="C5" i="2"/>
</calcChain>
</file>

<file path=xl/comments1.xml><?xml version="1.0" encoding="utf-8"?>
<comments xmlns="http://schemas.openxmlformats.org/spreadsheetml/2006/main">
  <authors>
    <author>user</author>
  </authors>
  <commentList>
    <comment ref="C1" authorId="0" shapeId="0">
      <text>
        <r>
          <rPr>
            <b/>
            <sz val="9"/>
            <color indexed="81"/>
            <rFont val="Tahoma"/>
            <family val="2"/>
          </rPr>
          <t>user:</t>
        </r>
        <r>
          <rPr>
            <sz val="9"/>
            <color indexed="81"/>
            <rFont val="Tahoma"/>
            <family val="2"/>
          </rPr>
          <t xml:space="preserve">
1.</t>
        </r>
        <r>
          <rPr>
            <sz val="9"/>
            <color indexed="81"/>
            <rFont val="細明體"/>
            <family val="3"/>
            <charset val="136"/>
          </rPr>
          <t xml:space="preserve">選取將本欄，複製。
</t>
        </r>
        <r>
          <rPr>
            <sz val="9"/>
            <color indexed="81"/>
            <rFont val="Tahoma"/>
            <family val="2"/>
          </rPr>
          <t>2.</t>
        </r>
        <r>
          <rPr>
            <sz val="9"/>
            <color indexed="81"/>
            <rFont val="細明體"/>
            <family val="3"/>
            <charset val="136"/>
          </rPr>
          <t>打開「</t>
        </r>
        <r>
          <rPr>
            <sz val="9"/>
            <color indexed="81"/>
            <rFont val="Tahoma"/>
            <family val="2"/>
          </rPr>
          <t>01-</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第一章：民用航空法及相關法規</t>
        </r>
        <r>
          <rPr>
            <sz val="9"/>
            <color indexed="81"/>
            <rFont val="Tahoma"/>
            <family val="2"/>
          </rPr>
          <t>.txt</t>
        </r>
        <r>
          <rPr>
            <sz val="9"/>
            <color indexed="81"/>
            <rFont val="細明體"/>
            <family val="3"/>
            <charset val="136"/>
          </rPr>
          <t xml:space="preserve">」，全選、剛除。
</t>
        </r>
        <r>
          <rPr>
            <sz val="9"/>
            <color indexed="81"/>
            <rFont val="Tahoma"/>
            <family val="2"/>
          </rPr>
          <t>3.</t>
        </r>
        <r>
          <rPr>
            <sz val="9"/>
            <color indexed="81"/>
            <rFont val="細明體"/>
            <family val="3"/>
            <charset val="136"/>
          </rPr>
          <t xml:space="preserve">貼上。
</t>
        </r>
        <r>
          <rPr>
            <sz val="9"/>
            <color indexed="81"/>
            <rFont val="Tahoma"/>
            <family val="2"/>
          </rPr>
          <t>4.</t>
        </r>
        <r>
          <rPr>
            <sz val="9"/>
            <color indexed="81"/>
            <rFont val="細明體"/>
            <family val="3"/>
            <charset val="136"/>
          </rPr>
          <t xml:space="preserve">存檔、離開。
</t>
        </r>
        <r>
          <rPr>
            <sz val="9"/>
            <color indexed="81"/>
            <rFont val="Tahoma"/>
            <family val="2"/>
          </rPr>
          <t>5.</t>
        </r>
        <r>
          <rPr>
            <sz val="9"/>
            <color indexed="81"/>
            <rFont val="細明體"/>
            <family val="3"/>
            <charset val="136"/>
          </rPr>
          <t>將「</t>
        </r>
        <r>
          <rPr>
            <sz val="9"/>
            <color indexed="81"/>
            <rFont val="Tahoma"/>
            <family val="2"/>
          </rPr>
          <t>01-</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第一章：民用航空法及相關法規</t>
        </r>
        <r>
          <rPr>
            <sz val="9"/>
            <color indexed="81"/>
            <rFont val="Tahoma"/>
            <family val="2"/>
          </rPr>
          <t>.txt</t>
        </r>
        <r>
          <rPr>
            <sz val="9"/>
            <color indexed="81"/>
            <rFont val="細明體"/>
            <family val="3"/>
            <charset val="136"/>
          </rPr>
          <t>」上傳至</t>
        </r>
        <r>
          <rPr>
            <sz val="9"/>
            <color indexed="81"/>
            <rFont val="Tahoma"/>
            <family val="2"/>
          </rPr>
          <t xml:space="preserve"> LINE </t>
        </r>
        <r>
          <rPr>
            <sz val="9"/>
            <color indexed="81"/>
            <rFont val="細明體"/>
            <family val="3"/>
            <charset val="136"/>
          </rPr>
          <t>的</t>
        </r>
        <r>
          <rPr>
            <sz val="9"/>
            <color indexed="81"/>
            <rFont val="Tahoma"/>
            <family val="2"/>
          </rPr>
          <t xml:space="preserve"> </t>
        </r>
        <r>
          <rPr>
            <sz val="9"/>
            <color indexed="81"/>
            <rFont val="細明體"/>
            <family val="3"/>
            <charset val="136"/>
          </rPr>
          <t>「</t>
        </r>
        <r>
          <rPr>
            <sz val="9"/>
            <color indexed="81"/>
            <rFont val="Tahoma"/>
            <family val="2"/>
          </rPr>
          <t>Amo</t>
        </r>
        <r>
          <rPr>
            <sz val="9"/>
            <color indexed="81"/>
            <rFont val="細明體"/>
            <family val="3"/>
            <charset val="136"/>
          </rPr>
          <t>無人機</t>
        </r>
        <r>
          <rPr>
            <sz val="9"/>
            <color indexed="81"/>
            <rFont val="Tahoma"/>
            <family val="2"/>
          </rPr>
          <t>UAV</t>
        </r>
        <r>
          <rPr>
            <sz val="9"/>
            <color indexed="81"/>
            <rFont val="細明體"/>
            <family val="3"/>
            <charset val="136"/>
          </rPr>
          <t xml:space="preserve">」群組。
</t>
        </r>
        <r>
          <rPr>
            <sz val="9"/>
            <color indexed="81"/>
            <rFont val="Tahoma"/>
            <family val="2"/>
          </rPr>
          <t>6.(</t>
        </r>
        <r>
          <rPr>
            <sz val="9"/>
            <color indexed="81"/>
            <rFont val="細明體"/>
            <family val="3"/>
            <charset val="136"/>
          </rPr>
          <t>手機</t>
        </r>
        <r>
          <rPr>
            <sz val="9"/>
            <color indexed="81"/>
            <rFont val="Tahoma"/>
            <family val="2"/>
          </rPr>
          <t xml:space="preserve"> LINE </t>
        </r>
        <r>
          <rPr>
            <sz val="9"/>
            <color indexed="81"/>
            <rFont val="細明體"/>
            <family val="3"/>
            <charset val="136"/>
          </rPr>
          <t>群組上</t>
        </r>
        <r>
          <rPr>
            <sz val="9"/>
            <color indexed="81"/>
            <rFont val="Tahoma"/>
            <family val="2"/>
          </rPr>
          <t xml:space="preserve">) </t>
        </r>
        <r>
          <rPr>
            <sz val="9"/>
            <color indexed="81"/>
            <rFont val="細明體"/>
            <family val="3"/>
            <charset val="136"/>
          </rPr>
          <t>打開本檔，再打開</t>
        </r>
        <r>
          <rPr>
            <sz val="9"/>
            <color indexed="81"/>
            <rFont val="Tahoma"/>
            <family val="2"/>
          </rPr>
          <t xml:space="preserve"> iPhone </t>
        </r>
        <r>
          <rPr>
            <sz val="9"/>
            <color indexed="81"/>
            <rFont val="細明體"/>
            <family val="3"/>
            <charset val="136"/>
          </rPr>
          <t>營幕朗讀。</t>
        </r>
      </text>
    </comment>
  </commentList>
</comments>
</file>

<file path=xl/sharedStrings.xml><?xml version="1.0" encoding="utf-8"?>
<sst xmlns="http://schemas.openxmlformats.org/spreadsheetml/2006/main" count="837" uniqueCount="562">
  <si>
    <t>題號</t>
  </si>
  <si>
    <t>題目</t>
  </si>
  <si>
    <t>A</t>
  </si>
  <si>
    <t>B</t>
  </si>
  <si>
    <t>C</t>
  </si>
  <si>
    <t>D</t>
  </si>
  <si>
    <t>答案</t>
  </si>
  <si>
    <t>題解</t>
  </si>
  <si>
    <t>1</t>
  </si>
  <si>
    <t>遙控無人機如為不法份子作為犯罪工具或因不當操作而致失控墜落者，可能導致何種後果？</t>
  </si>
  <si>
    <t>造成他人生命財產之損失。</t>
  </si>
  <si>
    <t>危害公共利益。</t>
  </si>
  <si>
    <t>影響飛航安全。</t>
  </si>
  <si>
    <t>以上皆是。</t>
  </si>
  <si>
    <t>遙控無人機如不當操作或作不法用途，其高空墜落具有實質物理衝擊力，會嚴重威脅地面人員的生命財產安全與公共利益，同時在空域中也會干擾其他航空器，危及整體飛航安全，故選 (D)。</t>
  </si>
  <si>
    <t>2</t>
  </si>
  <si>
    <t>市面上遙控無人機類型繁多，為保障操作安全，操作人於購買時應留意產品何項資訊？</t>
  </si>
  <si>
    <t>使用限制。</t>
  </si>
  <si>
    <t>操作性能。</t>
  </si>
  <si>
    <t>保固範圍。</t>
  </si>
  <si>
    <t>為了確保在合法、安全的前提下操作無人機，購買時必須徹底了解該機型的性能諸元、可承受的環境操作性能，以及法規或原廠給予的使用限制。同時，保固範圍攸關後續維修與檢查的妥善率。因此，(A)、(B)、(C) 皆為應留意的關鍵資訊。</t>
  </si>
  <si>
    <t>3</t>
  </si>
  <si>
    <t>遙控無人機之註冊、針對操作人員進行教育宣導及操作範圍警示之規定，係為達到哪個目的？</t>
  </si>
  <si>
    <t>刁難操作人員。</t>
  </si>
  <si>
    <t>打擊遙控無人機市場。</t>
  </si>
  <si>
    <t>安全使用。</t>
  </si>
  <si>
    <t>建立註冊制度是為了落實所有人責任制，教育宣導能提升操作人的法規與空情知識，操作範圍警示則能防止誤入禁限航區。上述管理規範之終極核心目的，皆是為了促進空域及地面的「安全使用」，而非刁難或打擊市場。</t>
  </si>
  <si>
    <t>4</t>
  </si>
  <si>
    <t>操作證考取目的係為確保操作人於哪個階段能熟悉相關航空知識與管理規範，並具備一定操作熟練度及緊急處置能力？</t>
  </si>
  <si>
    <t>操作前及操作時。</t>
  </si>
  <si>
    <t>操作前及操作後。</t>
  </si>
  <si>
    <t>操作前。</t>
  </si>
  <si>
    <t>操作後。</t>
  </si>
  <si>
    <t>國家設置操作證測驗之制度，目的在於要求操作人在「操作前」即做好完整的飛行計畫與設備檢查（熟悉知識與規範），並在「操作時」面臨突發狀況時，能具備熟練的控制與緊急處置能力，以保障飛安。</t>
  </si>
  <si>
    <t>5</t>
  </si>
  <si>
    <t>外國人領有外國政府對於所持有遙控無人機之註冊、操作證及檢驗合格等證明文件者，必須向哪個單位申請認可後，於遵守我國相關法令下從事遙控無人機活動？</t>
  </si>
  <si>
    <t>外交部。</t>
  </si>
  <si>
    <t>駐外單位。</t>
  </si>
  <si>
    <t>民航局。</t>
  </si>
  <si>
    <t>科技部。</t>
  </si>
  <si>
    <t>遙控無人機之業務主管機關為交通部民用航空局（民航局）。外國人持有之外國註冊或操作證明，依民用航空法規定，皆須向「民航局」申請認可後，始得在我國境內合法飛行。</t>
  </si>
  <si>
    <t>6</t>
  </si>
  <si>
    <t>操作人僅透過遙控無人機即時傳輸圖像功能（圖傳），是否即足以監控鏡頭外之周遭狀況？</t>
  </si>
  <si>
    <t>否。</t>
  </si>
  <si>
    <t>是。</t>
  </si>
  <si>
    <t>視傳輸圖像清晰度而定。</t>
  </si>
  <si>
    <t>視天氣狀況而定。</t>
  </si>
  <si>
    <t>7</t>
  </si>
  <si>
    <t>操作人不得利用遙控無人機從事哪種行為？</t>
  </si>
  <si>
    <t>合法行為。</t>
  </si>
  <si>
    <t>非法行為。</t>
  </si>
  <si>
    <t>適法行為。</t>
  </si>
  <si>
    <t>法定行為。</t>
  </si>
  <si>
    <t>身為法治國家之公民，無論操作何種工具，皆絕對「不得利用遙控無人機從事非法行為」，例如刺探機密、運送違禁品或故意侵害他人權益等。</t>
  </si>
  <si>
    <t>8</t>
  </si>
  <si>
    <t>操作人不得無故利用遙控無人機對他人進行何種行為？</t>
  </si>
  <si>
    <t>攝錄非公開活動。</t>
  </si>
  <si>
    <t>竊聽私下談話。</t>
  </si>
  <si>
    <t>窺視身體隱私部位。</t>
  </si>
  <si>
    <t>無人機搭載高解析度鏡頭與收音設備，若無故用以攝錄他人非公開活動、竊聽談話或窺視隱私，將直接觸犯刑法妨害秘密罪。上述行為皆在嚴格禁止之列，故選 (D)。</t>
  </si>
  <si>
    <t>9</t>
  </si>
  <si>
    <t>操作人未經同意，不得以遙控無人機對他人進行何種行為？</t>
  </si>
  <si>
    <t>錄音。</t>
  </si>
  <si>
    <t>照相、錄影。</t>
  </si>
  <si>
    <t>電磁紀錄竊錄。</t>
  </si>
  <si>
    <t>隱私權與個人資料受法律保護。在未獲得當事人明示同意前，操作人不得擅自利用無人機對其進行錄音、照相、錄影或任何電磁紀錄之竊錄，避免侵害個人隱私。</t>
  </si>
  <si>
    <t>10</t>
  </si>
  <si>
    <t>操作人不得無故利用遙控無人機於哪個場所進行飛航活動？</t>
  </si>
  <si>
    <t>私人庭院。</t>
  </si>
  <si>
    <t>學校教室。</t>
  </si>
  <si>
    <t>辦公室場所。</t>
  </si>
  <si>
    <t>私人庭院、學校教室、辦公室場所皆屬於非公開或有特定管理權限之場域，為保障空間內部人員之隱私、安寧與人身安全，操作人切勿無故飛入上述場所。</t>
  </si>
  <si>
    <t>11</t>
  </si>
  <si>
    <t>遙控無人機於空中進行飛航活動時，易伴隨較高之何種風險？</t>
  </si>
  <si>
    <t>文化風險。</t>
  </si>
  <si>
    <t>健康風險。</t>
  </si>
  <si>
    <t>社會風險。</t>
  </si>
  <si>
    <t>貿易風險。</t>
  </si>
  <si>
    <t>無人機在公共空域或人口稠密區上方飛行，若發生失控、墜落，涉及的往往是第三方人身財產安全、空域秩序及大眾隱私，此種對公眾群體帶來潛在威脅與干擾的特性，屬於「社會風險」。</t>
  </si>
  <si>
    <t>12</t>
  </si>
  <si>
    <t>對違反規範之遙控無人機操作人及所有人所為之處罰，係欲達到哪個目的？</t>
  </si>
  <si>
    <t>維持社會秩序。</t>
  </si>
  <si>
    <t>增進公共利益。</t>
  </si>
  <si>
    <t>維護公共安全。</t>
  </si>
  <si>
    <t>法律針對違規飛行施以行政罰鍰、沒入航空器或廢止操作證等處罰，其積極目的絕非單純懲罰，而是透過遏止違規行為，達到維持空域社會秩序、維護地面公眾公共安全，並最終增進全民公共利益之目的。</t>
  </si>
  <si>
    <t>13</t>
  </si>
  <si>
    <t>針對違反規範之遙控無人機操作人及所有人所處以罰鍰額度，係衡量何種因素而定？</t>
  </si>
  <si>
    <t>公眾利益及安全財產危害程度。</t>
  </si>
  <si>
    <t>政府稅收及國家經濟指數。</t>
  </si>
  <si>
    <t>國力強弱及世界局勢。</t>
  </si>
  <si>
    <t>教育程度及人民素質等。</t>
  </si>
  <si>
    <t>依據行政罰法與民航法裁罰基準，罰鍰額度的輕重，主要係依據違規行為對「公眾利益的侵害大小」以及對「周遭生命財產安全所造成的危害程度」來進行裁量，與經濟指數或國力世界局勢無關。</t>
  </si>
  <si>
    <t>14</t>
  </si>
  <si>
    <t>操作人於遵守相關規範下從事屬休閒娛樂性質之遙控無人機活動，其活動風險以何種管理方式為主？</t>
  </si>
  <si>
    <t>財政管理。</t>
  </si>
  <si>
    <t>自我管理。</t>
  </si>
  <si>
    <t>衛生管理。</t>
  </si>
  <si>
    <t>健康管理。</t>
  </si>
  <si>
    <t>個人進行休閒性質之綠區（合法空域）飛行時，政府並不會要求逐次申報飛行計畫，此時安全維護便完全仰賴操作人的法治觀念與安全操縱意識，亦即以「自我管理」為主。</t>
  </si>
  <si>
    <t>15</t>
  </si>
  <si>
    <t>為法人從事業務之遙控無人機操作人，依法須強制加入何種保險？</t>
  </si>
  <si>
    <t>積水險。</t>
  </si>
  <si>
    <t>責任險。</t>
  </si>
  <si>
    <t>地震險。</t>
  </si>
  <si>
    <t>颱風險。</t>
  </si>
  <si>
    <t>民用航空法特別規定，政府機關、學校或法人（即執行業務者）在操作遙控無人機前，必須強制投保「第三人責任保險」，以確保發生意外傷及第三方人身或財產時，能有足夠的賠償能力。</t>
  </si>
  <si>
    <t>16</t>
  </si>
  <si>
    <t>遙控無人機定義為何？</t>
  </si>
  <si>
    <t>自遙控設備以信號鏈路進行飛航控制之無人航空器。</t>
  </si>
  <si>
    <t>自遙控設備以自動駕駛操作之無人航空器。</t>
  </si>
  <si>
    <t>其他經民航局公告之無人航空器。</t>
  </si>
  <si>
    <t>根據我國《民用航空法》用詞定義，遙控無人機是指包含以信號鏈路控制、以自動駕駛操作，或經民航局公告核定之各類型無人航空器，故 (A)(B)(C) 皆包含在法規定義內。</t>
  </si>
  <si>
    <t>17</t>
  </si>
  <si>
    <t>某遙控無人機操作人欲代地方農會執行農藥噴灑作業，以下敘述何者正確？</t>
  </si>
  <si>
    <t>該操作人須通過學、術科測驗。</t>
  </si>
  <si>
    <t>該操作人不須通過術科測驗。</t>
  </si>
  <si>
    <t>執行農藥噴灑作業前不需經申請核准。</t>
  </si>
  <si>
    <t>代農會（法人單位）執行業務，且屬於法規中涉及「噴灑物件」之特殊操作限制，該操作人必須考取對應的「專業操作證」（須通過學科與術科測驗），且作業前法人必須向民航局申請核准，故僅有 (A) 正確。</t>
  </si>
  <si>
    <t>18</t>
  </si>
  <si>
    <t>於何處進行遙控無人機飛航活動適用民用航空法之「遙控無人機」相關規定？</t>
  </si>
  <si>
    <t>建築物內密閉空間。</t>
  </si>
  <si>
    <t>建築物外開放空間。</t>
  </si>
  <si>
    <t>任何空間。</t>
  </si>
  <si>
    <t>以上皆非。</t>
  </si>
  <si>
    <t>民用航空法規範的核心為公眾空域之飛航安全。若是在「建築物內密閉空間」飛行，屬於室內管理與管轄範疇，不適用民航法遙控無人機專章之規定；法規明確適用於「建築物外開放空間」，故選 (B)。</t>
  </si>
  <si>
    <t>19</t>
  </si>
  <si>
    <t>遙控無人機活動期間，其所有人或操作人應負責任為何？</t>
  </si>
  <si>
    <t>使用安全之責。</t>
  </si>
  <si>
    <t>風險管理之責。</t>
  </si>
  <si>
    <t>法規遵循之責。</t>
  </si>
  <si>
    <t>為了建立健全的無人機飛行環境，不論是飛機的所有人或是當下的實際操作人，都同時負有確保機器妥善使用（使用安全）、評估周遭氣象空域（風險管理）以及遵守限高/禁航區等法規（法規遵循）之全面責任。</t>
  </si>
  <si>
    <t>20</t>
  </si>
  <si>
    <t>有關遙控無人機飛航活動，下列敘述何者正確？</t>
  </si>
  <si>
    <t>未經許可不得飛航於禁航區。</t>
  </si>
  <si>
    <t>可任意飛航於限航區。</t>
  </si>
  <si>
    <t>航空站四周之一定距離範圍內飛航無相關規定。</t>
  </si>
  <si>
    <t>(B) 限航區亦須經申請許可始得進入，絕不可任意飛航；(C) 航空站四周為嚴重威脅民航機安全的敏感區域，法律設有嚴格的禁止/限制飛航一定距離規定。只有 (A)「未經許可不得飛航於禁航區」為正確法規。</t>
  </si>
  <si>
    <t>21</t>
  </si>
  <si>
    <t>航空站或飛行場四周之一定距離範圍係由哪個機關進行公告？</t>
  </si>
  <si>
    <t>衛福部。</t>
  </si>
  <si>
    <t>內政部。</t>
  </si>
  <si>
    <t>文化部。</t>
  </si>
  <si>
    <t>航空站及飛行場屬於民用航空主管業務範疇，因此其四周禁止/限制遙控無人機飛航之一定距離範圍，依法係由「民航局」進行劃定並公告。</t>
  </si>
  <si>
    <t>22</t>
  </si>
  <si>
    <t>直轄市、縣(市)政府依民航法第99條之13第2項所規範之區域內，得依公益及安全需要，進行哪些項目之公告？</t>
  </si>
  <si>
    <t>遙控無人機活動區域。</t>
  </si>
  <si>
    <t>遙控無人機活動時間。</t>
  </si>
  <si>
    <t>其他管理事項。</t>
  </si>
  <si>
    <t>地方空域（綠區、紅區、黃區之細部管理）由地方政府管轄。直轄市、縣（市）政府得依在地公益與公共安全之考量，全面公告其轄區內無人機可飛或不可飛的區域、時間、以及特定限制（其他管理事項），故選 (D)。</t>
  </si>
  <si>
    <t>23</t>
  </si>
  <si>
    <t>中央主管機關認有禁止或限制遙控無人機飛航活動需求者，得提請所在地哪個機關進行公告？</t>
  </si>
  <si>
    <t>鄉鎮區公所。</t>
  </si>
  <si>
    <t>直轄市、縣(市)政府。</t>
  </si>
  <si>
    <t>地方派出所。</t>
  </si>
  <si>
    <t>地方農會。</t>
  </si>
  <si>
    <t>各中央部會（如軍事基地、國家公園等中央機關）如在其轄管土地上有禁飛無人機需求，依法必須彙整並提請所在地的「直轄市、縣（市）政府」，由地方政府統一進行禁止/限制區域之公告。</t>
  </si>
  <si>
    <t>24</t>
  </si>
  <si>
    <t>政府機關(構)、學校或法人因執行業務需於禁、限航區及航空站或飛行場四周一定距離範圍內從事遙控無人機飛航活動者，應申請何者會商目的事業主管機關同意後，始得為之？</t>
  </si>
  <si>
    <t>禁航區、限航區、機場四周屬於中央民航管制空域，政府機關、學校或法人若因公務、學術等執行業務必要進入，必須提前向「民航局」提出申請，由民航局會商相關目的事業主管機關同意後發給許可。</t>
  </si>
  <si>
    <t>25</t>
  </si>
  <si>
    <t>政府機關(構)、學校或法人因執行業務需於直轄市、縣(市)政府所公告之遙控無人機活動區域、時間及其他管理事項外從事飛航活動者，應申請何者會商相關中央主管機關同意後，始得為之？</t>
  </si>
  <si>
    <t>農委會。</t>
  </si>
  <si>
    <t>交通部。</t>
  </si>
  <si>
    <t>若活動空域涉及地方政府公告的禁止時間或區域外（例如在地方公告的紅區飛行公務公文），申請程序必須向該空域之地方管轄機關「直轄市、縣（市）政府」提出，由地方政府會商中央機關同意後核准。</t>
  </si>
  <si>
    <t>26</t>
  </si>
  <si>
    <t>遙控無人機未經同意飛入禁航區、限航區，得由何者採取適當措施予以制止或排除？</t>
  </si>
  <si>
    <t>交通警察大隊。</t>
  </si>
  <si>
    <t>禁航區、限航區之管理人。</t>
  </si>
  <si>
    <t>為了維護高風險關鍵基礎設施或特定管制空域的安全，當無人機非法入侵時，該「禁航區、限航區之管理人」（例如軍事基地指揮官或重要機關管理者）具有法律明文授權，得採取如干擾、攔截等適當措施予以制止或排除。</t>
  </si>
  <si>
    <t>27</t>
  </si>
  <si>
    <t>遙控無人機未經同意飛入航空站或飛行場四周之一定距離範圍內者，航空站、飛行場之經營人或管理人得會同何者予以取締？</t>
  </si>
  <si>
    <t>當地里長。</t>
  </si>
  <si>
    <t>航空警察局。</t>
  </si>
  <si>
    <t>機場四周之取締攸關國際與國內航線飛安，屬於專業且直接管轄機場秩序的警政單位之職責。因此，航空站經營人或管理人會同執法之法定單位為「航空警察局」（航警局）。</t>
  </si>
  <si>
    <t>28</t>
  </si>
  <si>
    <t>遙控無人機未經同意飛入直轄市、縣(市)政府所公告之活動區域、時間及其他管理事項外者，得由何者進行取締？</t>
  </si>
  <si>
    <t>誰公告，誰取締。直轄市、縣（市）政府依公益安全所劃定公告的管理事項，一旦發生違規，其法定執法與取締主體即為該「直轄市、縣（市）政府」（通常會由其指派之警政或交通單位前往現場取締）。</t>
  </si>
  <si>
    <t>29</t>
  </si>
  <si>
    <t>從事休閒娛樂用途之遙控無人機活動，其飛航實際高度不得逾距地面或水面多少高度？</t>
  </si>
  <si>
    <t>800呎。</t>
  </si>
  <si>
    <t>400呎。</t>
  </si>
  <si>
    <t>200呎。</t>
  </si>
  <si>
    <t>100呎。</t>
  </si>
  <si>
    <t>依據民用航空法規定，為避免與有人航空器最低飛航高度（通常為500呎）發生衝突，遙控無人機在未經特別申請核准下的常態法規绝对限高為距地面或水面「400呎」（約120公尺）。</t>
  </si>
  <si>
    <t>30</t>
  </si>
  <si>
    <t>從事遙控無人機飛航活動，非經民航局核准不得執行下列何者行為？</t>
  </si>
  <si>
    <t>以信號鏈路進行飛航控制。</t>
  </si>
  <si>
    <t>以自動駕駛操作。</t>
  </si>
  <si>
    <t>投擲或噴灑任何物件。</t>
  </si>
  <si>
    <t>其他經民航局同意之操作。</t>
  </si>
  <si>
    <t>投擲或噴灑物品（如噴灑農藥、投擲空投物）屬於高風險的特殊操作限制，極易因重量突變導致失控或危害地面人員，因此屬於「非經民航局核准，絕對不得執行」之排除項目，故選 (C)。</t>
  </si>
  <si>
    <t>31</t>
  </si>
  <si>
    <t>光學酬載。</t>
  </si>
  <si>
    <t>飛航所需燃油或電池。</t>
  </si>
  <si>
    <t>民用航空法所公告之危險物品。</t>
  </si>
  <si>
    <t>調整重心所需之配重塊。</t>
  </si>
  <si>
    <t>安全第一。無人機嚴禁裝載民用航空法公告之任何「危險物品」（如易燃液體、爆炸物、強酸等），一旦發生墜毀可能釀成巨災。光學酬載（相機）、燃油電池、配重塊則為正常飛行所需，非禁止項目。</t>
  </si>
  <si>
    <t>32</t>
  </si>
  <si>
    <t>哪個機關負責訂定從事遙控無人機飛航活動所應遵守之規範？</t>
  </si>
  <si>
    <t>遙控無人機之根本母法為《民用航空法》，而民航局之上層中央主管部會即為「交通部」。因此，無人機活動之核心法規（如遙控無人機管理規則）皆是由交通部負責訂定發布。</t>
  </si>
  <si>
    <t>33</t>
  </si>
  <si>
    <t>從事休閒娛樂用途之遙控無人機不得於下列哪個區域進行飛航活動？</t>
  </si>
  <si>
    <t>人群聚集或室外集會遊行上空。</t>
  </si>
  <si>
    <t>經地方政府同意開放無人機活動之公園綠地。</t>
  </si>
  <si>
    <t>經地方政府同意開放無人機活動之人煙稀少區。</t>
  </si>
  <si>
    <t>經地方政府同意開放無人機活動之河灘地。</t>
  </si>
  <si>
    <t>個人休閒娛樂飛行受法律嚴格限制，絕不允許於「人群聚集或室外集會遊行上空」飛行，因為一旦墜落會造成嚴重群體傷亡。其餘選項皆為地方政府公告同意之開放區。</t>
  </si>
  <si>
    <t>34</t>
  </si>
  <si>
    <t>從事休閒娛樂用途之遙控無人機不得於下列哪個時間進行飛航活動？</t>
  </si>
  <si>
    <t>日落後至日出前。</t>
  </si>
  <si>
    <t>日出後。</t>
  </si>
  <si>
    <t>正中午。</t>
  </si>
  <si>
    <t>無特別規定。</t>
  </si>
  <si>
    <t>休閒娛樂用途之無人機飛行必須維持在目視視距內，夜間視線極差、難以辨識周遭障礙物與機身姿態。因此，法規規定夜間（即「日落後至日出前」）禁止進行休閒娛樂飛航。</t>
  </si>
  <si>
    <t>35</t>
  </si>
  <si>
    <t>操作人於從事休閒娛樂用途之遙控無人機飛航活動時，最多得同時控制幾架遙控無人機？</t>
  </si>
  <si>
    <t>1架。</t>
  </si>
  <si>
    <t>2架。</t>
  </si>
  <si>
    <t>5架。</t>
  </si>
  <si>
    <t>10架以上。</t>
  </si>
  <si>
    <t>個人目視範圍與反應速度有限，為確保徹底掌握飛行狀況，休閒娛樂飛行在任何時間都「最多只能同時控制1架」遙控無人機。多機群飛（如無人機燈光秀）只有法人單位經向民航局依程序申請核准後方可執行。</t>
  </si>
  <si>
    <t>36</t>
  </si>
  <si>
    <t>操作人於從事遙控無人機飛航活動期間，應留意下列何者？</t>
  </si>
  <si>
    <t>遙控無人機之販售包裝。</t>
  </si>
  <si>
    <t>遙控無人機之外觀造型。</t>
  </si>
  <si>
    <t>遙控無人機飛航及其周遭狀況。</t>
  </si>
  <si>
    <t>飛行時最重要的就是維持情境警覺（Situation Awareness）。操作人必須時刻全神貫注於「遙控無人機本身的飛航姿態、高度、電量」以及「周遭是否有突發的障礙物或直升機」等突發安全狀況。</t>
  </si>
  <si>
    <t>37</t>
  </si>
  <si>
    <t>從事遙控無人機飛航活動時，應防止其與何者之接近或碰撞？</t>
  </si>
  <si>
    <t>其他航空器。</t>
  </si>
  <si>
    <t>建築物。</t>
  </si>
  <si>
    <t>人群。</t>
  </si>
  <si>
    <t>避讓義務是操作人的基本責任。飛行過程中，無人機必須主動採取安全迴避，防止與空中的其他有人/無人「航空器」、地面的「建築物」及周遭的「人群」發生任何接近或碰撞事故。</t>
  </si>
  <si>
    <t>38</t>
  </si>
  <si>
    <t>政府機關(構)、學校或法人欲執行遙控無人機法規所訂之操作限制者，得檢附相關文書並向下列何者申請核准後為之？</t>
  </si>
  <si>
    <t>警察機關。</t>
  </si>
  <si>
    <t>排除法規操作限制（例如：夜間飛行、400呎以上飛行、裝載物件或群飛等特殊項目），涉及整體空域秩序之豁免，一律應向中央民航主管機關「民航局」提交作業計畫書並經核准後始得實施。</t>
  </si>
  <si>
    <t>39</t>
  </si>
  <si>
    <t>政府機關(構)、學校或法人經民航局核准得於「人群聚集或室外集會遊行上空」進行飛航活動者，其活動場地部分仍應取得何者之同意？</t>
  </si>
  <si>
    <t>直轄市、縣(市)政府及相關中央主管機關。</t>
  </si>
  <si>
    <t>相關中央主管機關。</t>
  </si>
  <si>
    <t>當地派出所。</t>
  </si>
  <si>
    <t>雖已取得民航局之空域操作許可，但「人群聚集上空」涉及高度地面安全與場地使用權責，故活動場地地面部分，仍應向當地的土地或路權管理權責單位——即「直轄市、縣（市）政府及相關中央主管機關」取得使用同意。</t>
  </si>
  <si>
    <t>40</t>
  </si>
  <si>
    <t>操作遙控無人機發生下列哪種情形時，遙控無人機所有人應負賠償責任？</t>
  </si>
  <si>
    <t>故意致他人死傷。</t>
  </si>
  <si>
    <t>過失致他人死傷。</t>
  </si>
  <si>
    <t>故意或過失毀損他人財物。</t>
  </si>
  <si>
    <t>依據民航法第99條之15規定，遙控無人機所有人不論是出於故意或過失，只要其航空器造成他人之死傷，或者造成他人財產、物品毀損，皆應依法承擔損害賠償責任，故選 (D)。</t>
  </si>
  <si>
    <t>41</t>
  </si>
  <si>
    <t>遙控無人機所有人將其遙控無人機交由他人進行操作而不慎墜落傷人，應由何人負連帶賠償責任？</t>
  </si>
  <si>
    <t>所有人及旁觀人。</t>
  </si>
  <si>
    <t>所有人及設計者。</t>
  </si>
  <si>
    <t>所有人及操作人。</t>
  </si>
  <si>
    <t>所有人及製造者。</t>
  </si>
  <si>
    <t>法律為徹底保障受害者權益，明文規定當無人機借予、交予他人使用時，若因操作不當發生墜毀傷人事件，無人機的「所有人」與當時的實際「操作人」，必須共同負起「連帶賠償責任」。</t>
  </si>
  <si>
    <t>42</t>
  </si>
  <si>
    <t>政府機關(構)、學校或法人於從事民航局核准之遙控無人機飛航活動前，應依法投保責任保險，係依據何法所定之內容？</t>
  </si>
  <si>
    <t>保險法。</t>
  </si>
  <si>
    <t>民用航空法。</t>
  </si>
  <si>
    <t>民法。</t>
  </si>
  <si>
    <t>勞動基準法。</t>
  </si>
  <si>
    <t>法人執行無人機業務前必須強制投保第三人責任險，這項特別的強制性規定是明文訂定於《民用航空法》遙控無人機專章內（並非保險法或民法之常態條文）。</t>
  </si>
  <si>
    <t>43</t>
  </si>
  <si>
    <t>遙控無人機所有人或操作人違反「禁航區、限航區及航空站或飛行場四周之一定距離範圍內從事飛航活動」之相關規定者，民航局除廢止其操作證並得沒入遙控無人機外，另處多少新臺幣之罰鍰？</t>
  </si>
  <si>
    <t>3萬元以上18萬元以下。</t>
  </si>
  <si>
    <t>5萬元以上28萬元以下。</t>
  </si>
  <si>
    <t>10萬元以上48萬元以下。</t>
  </si>
  <si>
    <t>30萬元以上150萬元以下。</t>
  </si>
  <si>
    <t>44</t>
  </si>
  <si>
    <t>遙控無人機所有人或操作人違反「不得逾距地面或水面高度400呎從事飛航活動」之規定者，民航局除廢止其操作證並得沒入遙控無人機外，另處多少新臺幣之罰鍰？</t>
  </si>
  <si>
    <t>1萬元以上10萬元以下。</t>
  </si>
  <si>
    <t>20萬元以上50萬元以下。</t>
  </si>
  <si>
    <t>5萬元以上30萬元以下。</t>
  </si>
  <si>
    <t>45</t>
  </si>
  <si>
    <t>遙控無人機之所有人或操作人違反「未領有操作證而操作遙控無人機」之規定者，除禁止其活動，情節重大者並得沒入遙控無人機外，另處多少新臺幣之罰鍰？</t>
  </si>
  <si>
    <t>1萬元以上8萬元以下。</t>
  </si>
  <si>
    <t>6萬元以上30萬元以下。</t>
  </si>
  <si>
    <t>8萬元以上38萬元以下。</t>
  </si>
  <si>
    <t>46</t>
  </si>
  <si>
    <t>遙控無人機之所有人或操作人違反「未投保或未足額投保責任保險而從事遙控無人機活動」之規定者，除禁止其活動，情節重大者並得沒入遙控無人機外，另處多少新臺幣之罰鍰？</t>
  </si>
  <si>
    <t>3萬元以上20萬元以下.</t>
  </si>
  <si>
    <t>8萬元以上50萬元以下。</t>
  </si>
  <si>
    <t>47</t>
  </si>
  <si>
    <t>遙控無人機之所有人或操作人違反「遙控無人機註冊或標明註冊號碼」之相關規定者，除禁止其活動，情節重大者並得沒入遙控無人機外，另處多少新臺幣之罰鍰？</t>
  </si>
  <si>
    <t>3萬元以上15萬元以下。</t>
  </si>
  <si>
    <t>48</t>
  </si>
  <si>
    <t>遙控無人機之所有人或操作人違反「直轄市、縣(市)政府公告之區域、時間及其他管理事項」之相關規定者，除禁止其活動，情節重大者並得沒入遙控無人機外，另處多少新臺幣之罰鍰？</t>
  </si>
  <si>
    <t>8萬元以上38萬元以下.</t>
  </si>
  <si>
    <t>15萬元以上30萬元以下。</t>
  </si>
  <si>
    <t>49</t>
  </si>
  <si>
    <t>遙控無人機之所有人或操作人違反「遙控無人機飛航活動應遵守之規定」者，除禁止其活動，情節重大者並得沒入遙控無人機外，另處多少新臺幣之罰鍰？</t>
  </si>
  <si>
    <t>50</t>
  </si>
  <si>
    <t>違反「射頻識別、檢驗、認可、維修與檢查、飛航活動之活動許可及內容、製造者與進口者之登錄及責任、飛航安全相關事件之通報等事項」規定者，除禁止其活動，情節重大者並得沒入遙控無人機外，另處多少新臺幣之罰鍰？</t>
  </si>
  <si>
    <t>1萬元以上150萬元以下。</t>
  </si>
  <si>
    <t>5萬元以上498萬元以下。</t>
  </si>
  <si>
    <t>8萬元以上798萬元以下。</t>
  </si>
  <si>
    <t>10萬元以上998萬元以下。</t>
  </si>
  <si>
    <t>51</t>
  </si>
  <si>
    <t>遙控無人機和遙控設備間為操作飛行管理目的之資料鏈接，稱之？</t>
  </si>
  <si>
    <t>網路鏈路。</t>
  </si>
  <si>
    <t>通訊及控制信號鏈路。</t>
  </si>
  <si>
    <t>電信鏈路。</t>
  </si>
  <si>
    <t>光纖鏈路。</t>
  </si>
  <si>
    <t>52</t>
  </si>
  <si>
    <t>計算遙控無人機之最大起飛重量(MTOW)，應包含下列哪些重量？</t>
  </si>
  <si>
    <t>機體。</t>
  </si>
  <si>
    <t>燃料、電池。</t>
  </si>
  <si>
    <t>負載設備、酬載。</t>
  </si>
  <si>
    <t>53</t>
  </si>
  <si>
    <t>依據法規定義，於遙控無人機飛航活動期間，實際操控遙控無人機或指揮監督飛航活動之人員稱之？</t>
  </si>
  <si>
    <t>目視觀察員。</t>
  </si>
  <si>
    <t>遙控無人機操作人。</t>
  </si>
  <si>
    <t>任務協調員。</t>
  </si>
  <si>
    <t>法規上對「操作人」的精準定義，是指於飛行過程中手上握有控制桿進行「實際操控」的人，或是對整趟自動駕駛飛行負起「指揮監督」責任的核心人員。</t>
  </si>
  <si>
    <t>54</t>
  </si>
  <si>
    <t>依據法規定義，持有遙控無人機操作證並於遙控無人機活動期間，提供實際操控遙控無人機操作人必要飛航資訊之人員稱之？</t>
  </si>
  <si>
    <t>設計者。</t>
  </si>
  <si>
    <t>製造者。</t>
  </si>
  <si>
    <t>遙控無人機所有人。</t>
  </si>
  <si>
    <t>當操作人進行特定飛行（如非目視飛行）時，常需配置「目視觀察員」。其職責是運用肉眼擴大監視範圍，隨時向手持遙控器的操作人通報空中的鳥類、飛機及周遭威脅等必要飛航資訊。</t>
  </si>
  <si>
    <t>55</t>
  </si>
  <si>
    <t>遙控無人機依其構造可分為哪幾種？</t>
  </si>
  <si>
    <t>無人飛機。</t>
  </si>
  <si>
    <t>無人直昇機。</t>
  </si>
  <si>
    <t>無人多旋翼機。</t>
  </si>
  <si>
    <t>現行管理規則中依據無人機的空氣動力學結構特徵，主要劃分為三大類：固定翼的「無人飛機」、單旋翼帶尾槳的「無人直昇機」以及多軸構造的「無人多旋翼機」，故選 (D)。</t>
  </si>
  <si>
    <t>56</t>
  </si>
  <si>
    <t>無人多旋翼機具有幾個以上之垂直傳動軸？</t>
  </si>
  <si>
    <t>2個以上。</t>
  </si>
  <si>
    <t>3個以上。</t>
  </si>
  <si>
    <t>4個以上。</t>
  </si>
  <si>
    <t>6個以上。</t>
  </si>
  <si>
    <t>市面上常見的多旋翼雖以四軸、六軸或八軸為主，但法規上對於多旋翼的定義基準線，是只要具備「3個以上」之垂直傳動軸，藉由彼此間的轉速協調控制姿態者，即歸類為多旋翼機。</t>
  </si>
  <si>
    <t>57</t>
  </si>
  <si>
    <t>何人應負飛航安全之責，對遙控無人機為妥善之維護，並從事安全飛航作業？</t>
  </si>
  <si>
    <t>遙控無人機所有人及操作人。</t>
  </si>
  <si>
    <t>遙控無人機設計者。</t>
  </si>
  <si>
    <t>遙控無人機製造者。</t>
  </si>
  <si>
    <t>遙控無人機改裝者。</t>
  </si>
  <si>
    <t>設計、製造、改裝者負責的是出廠性能，而機器一旦進入實際飛行階段，依法「所有人」（負責提供妥善機體維修維護）與「操作人」（負責當下安全飛航作業規畫）必須共同肩負起最直接的飛航安全責任。</t>
  </si>
  <si>
    <t>58</t>
  </si>
  <si>
    <t>若遙控無人機飛航活動涉及 2 位以上之操作者，下列敘述何者正確？</t>
  </si>
  <si>
    <t>應指定 1 人為決定權人，使得從事飛航活動。</t>
  </si>
  <si>
    <t>不須指定決定權人即可從事飛航活動。</t>
  </si>
  <si>
    <t>是否指定決定權人視任務性質而定。</t>
  </si>
  <si>
    <t>多人協同操作（例如一人控飛機、另一人控相機雲台，或執行雙機編隊）時，為避免指令衝突或責任歸屬不清，法規明定「必須指定1人為決定權人」，主導整體飛行活動與緊急處置。</t>
  </si>
  <si>
    <t>59</t>
  </si>
  <si>
    <t>下列何者較適合做為遙控無人機註冊號碼之標明處所？</t>
  </si>
  <si>
    <t>起落架上。</t>
  </si>
  <si>
    <t>螺旋槳面上。</t>
  </si>
  <si>
    <t>機身未遮蔽之平整面上。</t>
  </si>
  <si>
    <t>電池蓋上。</t>
  </si>
  <si>
    <t>註冊號碼的標明原則是必須能清晰辨識且不易脫落。起落架容易損壞更換，螺旋槳會高速旋轉無法辨識，電池蓋會頻繁開閉抽換；因此，最符合規範的位置是「機身未被遮蔽之平整主體表面」。</t>
  </si>
  <si>
    <t>60</t>
  </si>
  <si>
    <t>註冊號碼應以標籤、鐫刻、噴漆或其他能辨識之方式標明，並於每次飛航時符合下列何項要求？</t>
  </si>
  <si>
    <t>確保不至脫落。</t>
  </si>
  <si>
    <t>保持清潔。</t>
  </si>
  <si>
    <t>能明顯辨識。</t>
  </si>
  <si>
    <t>註冊號碼如同汽車車牌。為落實管理，每次飛航前操作人應檢查其是否牢固（不至脫落）、擦拭污垢（保持清潔），使其處於隨時能被肉眼「明顯辨識」的狀態，故 (A)(B)(C) 皆對。</t>
  </si>
  <si>
    <t>61</t>
  </si>
  <si>
    <t>遙控無人機註冊號碼之標漆位置依法應位於何處？</t>
  </si>
  <si>
    <t>固定結構內部。</t>
  </si>
  <si>
    <t>固定結構外部。</t>
  </si>
  <si>
    <t>轉動機構外部。</t>
  </si>
  <si>
    <t>轉動機構內部。</t>
  </si>
  <si>
    <t>為了讓稽查人員或公眾在不需要拆卸無人機的情況下直接辨識號碼，註冊號碼必須漆在無人機的「固定結構外部」；若漆在內部或活動、轉動機構上，均不符合查驗便利與可視性之規定。</t>
  </si>
  <si>
    <t>62</t>
  </si>
  <si>
    <t>註冊號碼之顏色應以肉眼即能辨識，並應符合下列何項要求？</t>
  </si>
  <si>
    <t>融入背景顏色。</t>
  </si>
  <si>
    <t>與背景顏色相近。</t>
  </si>
  <si>
    <t>與背景明顯反襯。</t>
  </si>
  <si>
    <t>63</t>
  </si>
  <si>
    <t>有關遙控無人機註冊號碼之使用，下列何者正確？</t>
  </si>
  <si>
    <t>不得偽造。</t>
  </si>
  <si>
    <t>不得變造。</t>
  </si>
  <si>
    <t>不得矇領。</t>
  </si>
  <si>
    <t>註冊號碼具有公文書或特許證明性質，操作人與所有人絕對「不得偽造假號碼」、「不得變造他人號碼」，亦「不得以虛偽不實之資料矇領註冊號碼」，違者涉及嚴重的刑事與行政責任。</t>
  </si>
  <si>
    <t>64</t>
  </si>
  <si>
    <t>不得於任何未註冊之遙控無人機上使用。</t>
  </si>
  <si>
    <t>可於他人未註冊之遙控無人機上使用。</t>
  </si>
  <si>
    <t>可於自己所有未註冊之遙控無人機上使用。</t>
  </si>
  <si>
    <t>使用狀況視遙控無人機型式而定。</t>
  </si>
  <si>
    <t>一機一號制度。合法取得的註冊號碼只能專屬標明在該登記核准的無人機上，絕對「不得移轉或借給任何未註冊之遙控無人機上使用」，不論該機器是自己所有或他人所有皆同。</t>
  </si>
  <si>
    <t>65</t>
  </si>
  <si>
    <t>最大起飛重量超過一定重量之遙控無人機應具有射頻識別功能（Remote ID），其一定重量，係由下列哪個機關公告之？</t>
  </si>
  <si>
    <t>66</t>
  </si>
  <si>
    <t>遙控無人機之設計、製造、改裝，可由何者提出型式檢驗申請？</t>
  </si>
  <si>
    <t>改裝者。</t>
  </si>
  <si>
    <t>以上皆可。</t>
  </si>
  <si>
    <t>依管理規則規定，凡投入無人機商業化或高重量級別之「設計者」、「製造者」或針對既有產品進行大改之「改裝者」，皆具備法定主體資格，可向主管機關提出產品的型式檢驗申請。</t>
  </si>
  <si>
    <t>67</t>
  </si>
  <si>
    <t>遙控無人機之設計、製造、改裝，應檢附申請書向哪個機關申請型式檢驗？</t>
  </si>
  <si>
    <t>遙控無人機的適航認證、型式檢驗與實體檢驗，其唯一技術與法規審查權責機關皆為「民航局」（或其委託之專業機構）。</t>
  </si>
  <si>
    <t>68</t>
  </si>
  <si>
    <t>自國外進口之遙控無人機，應由何者依規定向民航局申請型式檢驗？</t>
  </si>
  <si>
    <t>操作人。</t>
  </si>
  <si>
    <t>所有人。</t>
  </si>
  <si>
    <t>進口者。</t>
  </si>
  <si>
    <t>為了確保海外輸入的無人機射頻與飛安構造符合我國法規，源頭管理規定由「進口者」（進口代理商或貿易商）負責向民航局辦理型式檢驗。</t>
  </si>
  <si>
    <t>69</t>
  </si>
  <si>
    <t>遙控無人機於設計、製造、改裝階段為驗證性能諸元所需之試飛，應檢附文件向哪個機關申請試飛活動？</t>
  </si>
  <si>
    <t>研發與改裝過程中的實驗「試飛」必須進入公共空域，為防範未檢驗機器發生飛安意外，必須向「民航局」提出專案試飛活動申請並劃定試飛空域。</t>
  </si>
  <si>
    <t>70</t>
  </si>
  <si>
    <t>最大起飛重量 25 公斤以上之遙控無人機，為確保其符合設計、製造、改裝之性能諸元，應由何者提出實體檢驗申請？</t>
  </si>
  <si>
    <t>重量達25公斤以上的大型無人機具有高動能風險，法規規定其在註冊前必須通過逐架的實體檢驗，此項實體檢驗應由購買或持有該機器的「所有人」負責提出申請。</t>
  </si>
  <si>
    <t>71</t>
  </si>
  <si>
    <t>最大起飛重量 25 公斤以上之遙控無人機，為確保其符合設計、製造、改裝之性能諸元，應向哪個機關申請實體檢驗？</t>
  </si>
  <si>
    <t>大型遙控無人機之實體適航與安全性把關，法定主管檢驗機關一樣為「民航局」。</t>
  </si>
  <si>
    <t>72</t>
  </si>
  <si>
    <t>自行製造、使用之最大起飛重量 25 公斤以上遙控無人機，何人可提出合併型式檢驗及實體檢驗之申請？</t>
  </si>
  <si>
    <t>73</t>
  </si>
  <si>
    <t>自行製造、使用之最大起飛重量 25 公斤以上遙控無人機，可向哪個機關提出合併型式檢驗及實體檢驗之申請？</t>
  </si>
  <si>
    <t>所有的合併檢驗與特種檢驗，其申請窗口與准駁機關均統一歸口於「民航局」。</t>
  </si>
  <si>
    <t>74</t>
  </si>
  <si>
    <t>實體檢驗合格證或特種實體檢驗合格證之記載事項如有變更時，下列敘述何者正確？</t>
  </si>
  <si>
    <t>製造者應於事實發生日起 15 日內申請換發。</t>
  </si>
  <si>
    <t>設計者應於事實發生日起 10 日內申請換發。</t>
  </si>
  <si>
    <t>操作人應於事實發生日起 7 日內申請換發。</t>
  </si>
  <si>
    <t>所有人應於事實發生日起 15 日內申請換發。</t>
  </si>
  <si>
    <t>實體檢驗合格證是由「所有人」持有之法定登載文件。若合格證上的登載內容（如所有人資料或重要性能更動）發生變更，該「所有人」應於事實發生日起「15日內」向民航局申請換發。</t>
  </si>
  <si>
    <t>75</t>
  </si>
  <si>
    <t>有關遙控無人機製造者與進口者申請產品資訊登錄時機，下列敘述何者正確？</t>
  </si>
  <si>
    <t>販售或進口前。</t>
  </si>
  <si>
    <t>販售或進口時。</t>
  </si>
  <si>
    <t>販售或進口後。</t>
  </si>
  <si>
    <t>為落實源頭管理，防止不合格產品流入市面，製造商在產品「販售前」、進口商在產品「進口前」，即必須完成產品資訊的登錄，故選 (A)。</t>
  </si>
  <si>
    <t>76</t>
  </si>
  <si>
    <t>遙控無人機製造者與進口者應向哪個機關申請產品資訊登錄？</t>
  </si>
  <si>
    <t>經濟部。</t>
  </si>
  <si>
    <t>產品資訊登錄管理平台，是由無人機業務總管機關「民航局」所建立與維護，因此登錄作業須向民航局提出。</t>
  </si>
  <si>
    <t>77</t>
  </si>
  <si>
    <t>最大起飛重量 25 公斤以上之遙控無人機因系統設計、製造或改裝缺失而致有不安全情況時，下列何者為非？</t>
  </si>
  <si>
    <t>設計者應針對該缺失採取補正措施。</t>
  </si>
  <si>
    <t>製造者應針對該缺失採取補正措施。</t>
  </si>
  <si>
    <t>改裝者應針對該缺失採取補正措施。</t>
  </si>
  <si>
    <t>無須採取任何補正措施。</t>
  </si>
  <si>
    <t>大於25公斤之機器如發現系統性的致命缺陷，原廠的設計者、製造者或進行變更的改裝者，皆有法律責任召回或實施安全補正措施。因此 (D) 稱「無須採取任何措施」為明顯錯誤之非正確敘述。</t>
  </si>
  <si>
    <t>78</t>
  </si>
  <si>
    <t>操作政府機關（構）、學校或法人所有遙控無人機之操作人應持有民航局發給之何種證照，始得操作？</t>
  </si>
  <si>
    <t>機師檢定證。</t>
  </si>
  <si>
    <t>操作證。</t>
  </si>
  <si>
    <t>維修檢定證。</t>
  </si>
  <si>
    <t>鑑定合格證。</t>
  </si>
  <si>
    <t>法人單位的公務飛行安全要求高，不論飛機重量多輕，其操作人都必須考取並持有民航局核發的無人機「操作證」（具體通常為專業操作證），始得執行公務。</t>
  </si>
  <si>
    <t>79</t>
  </si>
  <si>
    <t>有關遙控無人機操作證之分類，下列何者為非？</t>
  </si>
  <si>
    <t>暫時操作證。</t>
  </si>
  <si>
    <t>普通操作證。</t>
  </si>
  <si>
    <t>專業操作證。</t>
  </si>
  <si>
    <t>學習操作證。</t>
  </si>
  <si>
    <t>我國法規定義的遙控無人機操作證僅劃分為三種：學習操作證（供練習用）、普通操作證（自然人綠區休閒大重量用）以及專業操作證（法人、特殊操作用）。並無「暫時操作證」此一分類。</t>
  </si>
  <si>
    <t>80</t>
  </si>
  <si>
    <t>自然人欲以遙控無人機從事休閒娛樂用途，下列有關考照需求敘述何者正確？</t>
  </si>
  <si>
    <t>操作 10 公斤且裝置導航設備之遙控無人機不需考照。</t>
  </si>
  <si>
    <t>操作未達 2 公斤之遙控無人機不須考照。</t>
  </si>
  <si>
    <t>操作 15 公斤以上之遙控無人機僅需通過學科測驗。</t>
  </si>
  <si>
    <t>操作未達 2 公斤之遙控無人機須通過學科測驗。</t>
  </si>
  <si>
    <t>81</t>
  </si>
  <si>
    <t>申請遙控無人機專業操作證者，其術科測驗應於學科測驗通過日起多久內完成，否則應重新申請學科測驗？</t>
  </si>
  <si>
    <t>3個月內。</t>
  </si>
  <si>
    <t>6個月內。</t>
  </si>
  <si>
    <t>9個月內。</t>
  </si>
  <si>
    <t>1年內。</t>
  </si>
  <si>
    <t>為了確保考生在具備最新航空法規與學科知識的時效內完成實操考核，法規規定學科成績可保留「1年」。即術科測驗必須在學科通過日起「1年內」完成，逾期學科成績作廢。</t>
  </si>
  <si>
    <t>82</t>
  </si>
  <si>
    <t>操作人從事遙控無人機活動，應於何時依製造者所提供之維修指引對遙控無人機系統進行檢查，以符合安全飛航條件後始得活動？</t>
  </si>
  <si>
    <t>應於飛航活動前執行。</t>
  </si>
  <si>
    <t>應於飛航活動後執行。</t>
  </si>
  <si>
    <t>應於飛航活動中執行。</t>
  </si>
  <si>
    <t>任何時間均可執行。</t>
  </si>
  <si>
    <t>預防勝於治療。為防止無人機帶著潛在故障（如螺絲鬆動、槳葉裂痕、電池膨脹）起飛，安全性檢查「必須嚴格於飛航活動前」逐項執行完畢，確認完全符合飛安條件。</t>
  </si>
  <si>
    <t>83</t>
  </si>
  <si>
    <t>操作人從事遙控無人機飛航活動前，下列何者非為主要考量因素？</t>
  </si>
  <si>
    <t>氣象條件。</t>
  </si>
  <si>
    <t>空域、飛航限制。</t>
  </si>
  <si>
    <t>其他空中或地面之危害因素。</t>
  </si>
  <si>
    <t>操作者家庭狀況。</t>
  </si>
  <si>
    <t>飛行前的風險評估（Risk Assessment）必須包含：環境的風速下雨（氣象）、是否為紅黃綠區（空域限制）、地面人群與障礙物（地面危害）。「操作者的家庭狀況」顯然與當下飛行的物理與法律風險無關。</t>
  </si>
  <si>
    <t>84</t>
  </si>
  <si>
    <t>有關操作人欲於載具上操作遙控無人機以進行飛航活動，下列敘述何者錯誤？</t>
  </si>
  <si>
    <t>可於固定之導控站上操作。</t>
  </si>
  <si>
    <t>可於固定之車輛上操作。</t>
  </si>
  <si>
    <t>可於移動中之航空器上操作。</t>
  </si>
  <si>
    <t>可於固定之船艦上操作。</t>
  </si>
  <si>
    <t>為了確保控制信號鏈路的穩定與操作人的視界，操作人可在固定的導控站、靜止或安全停泊的車輛及船艦上操作；但絕對「禁止於移動中的航空器（如飛機、直升機內部）」進行無人機操作，這會嚴重干擾有人機艙飛安且極難控制，故 (C) 錯誤。</t>
  </si>
  <si>
    <t>85</t>
  </si>
  <si>
    <t>哪些單位應檢附文件向民航局申請核准後，始得從事遙控無人機飛航活動？</t>
  </si>
  <si>
    <t>政府機關（構）。</t>
  </si>
  <si>
    <t>學校。</t>
  </si>
  <si>
    <t>法人。</t>
  </si>
  <si>
    <t>依據遙控無人機管理規則，所有的非自然人主體——包含「政府機關」、「各級學校」以及「各式法人、人民團體、公司」，在從事任何無人機飛行活動前，皆必須於系統上登載並向民航局申請法人能力審查與活動核准。</t>
  </si>
  <si>
    <t>86</t>
  </si>
  <si>
    <t>政府機關（構）、學校或法人欲於直轄市、縣（市）政府公告之禁止、限制區域內從事遙控無人機飛航活動者，應至少於活動日前多久檢附計畫書提出申請？</t>
  </si>
  <si>
    <t>30 日前。</t>
  </si>
  <si>
    <t>20 日前。</t>
  </si>
  <si>
    <t>15 日前。</t>
  </si>
  <si>
    <t>10 日前。</t>
  </si>
  <si>
    <t>涉及侵入地方政府公告的紅區等管制空域，審查流程需要橫向會商部會，因此法人依法必須「至少於活動日前15日」檢附活動計畫書與安全維護規劃向民航局或地方政府網頁提出申請。</t>
  </si>
  <si>
    <t>87</t>
  </si>
  <si>
    <t>最大起飛重量 2 公斤以上且裝置導航設備之遙控無人機遭受實質損害或失蹤時，所有人或操作人應於發生或得知消息後多久內填具飛航安全相關事件報告表通報民航局？</t>
  </si>
  <si>
    <t>6 小時內。</t>
  </si>
  <si>
    <t>12 小時內。</t>
  </si>
  <si>
    <t>24 小時內。</t>
  </si>
  <si>
    <t>48 小時內。</t>
  </si>
  <si>
    <t>重量大於2公斤且有導航之機器發生「摔機實質受損」或「提控飛丟失蹤」時，為利民航局掌握潛在地面危害及飛安統計，所有人或操作人必須在事發或得知起「24小時內」強制進行電子化通報。</t>
  </si>
  <si>
    <t>88</t>
  </si>
  <si>
    <t>當遙控無人機發生與其他航空器或障礙物接近或碰撞之事故時，所有人或操作人應於發生或得知消息後多久內填具飛航安全相關事件報告表通報民航局？</t>
  </si>
  <si>
    <t>無人機不論重量，只要發生「與其他有人機/無人機空中接近、碰撞」或是「撞擊高壓電塔、建築物」等實質飛安事故，法定时限一樣是於得知消息起「24小時內」填具報告通報民航局。</t>
  </si>
  <si>
    <t>89</t>
  </si>
  <si>
    <t>當發生遙控無人機飛航安全相關事件時，民航局針對操作人可採取哪項措施？</t>
  </si>
  <si>
    <t>得逕為暫停其操作或飛航活動。</t>
  </si>
  <si>
    <t>經操作人同意後，得暫停其操作或飛航活動。</t>
  </si>
  <si>
    <t>經所在地方政府同意後，得暫停其操作或飛航活動。</t>
  </si>
  <si>
    <t>需待調查結束後並經操作人同意，使得暫停其操作或飛航活動。</t>
  </si>
  <si>
    <t>90</t>
  </si>
  <si>
    <t>根據「遙控無人機管理規則」內容，各項申請及通報作業可透過何處以電子化方式為之？</t>
  </si>
  <si>
    <t>地方政府所建置之資訊系統。</t>
  </si>
  <si>
    <t>民航局所指定之資訊系統。</t>
  </si>
  <si>
    <t>財政部所建置資訊系統。</t>
  </si>
  <si>
    <t>經濟部所建置資訊系統。</t>
  </si>
  <si>
    <t>為了便民並達到全國一體化管理，民航局建置了「遙控無人機管理資訊系統」。所有的註冊、考照、法人活動申請、事故通報，皆是透過此一「民航局所指定之資訊系統」進行電子化作業。</t>
  </si>
  <si>
    <t>91</t>
  </si>
  <si>
    <t>有關操作人從事遙控無人機飛航活動時應注意之距離限制，下列何者為正確？</t>
  </si>
  <si>
    <t>應至少距高速公路範圍 10 公尺以上。</t>
  </si>
  <si>
    <t>應至少距高架鐵路範圍 20 公尺以上。</t>
  </si>
  <si>
    <t>應至少距建築物及障礙物範圍 30 公尺以上。</t>
  </si>
  <si>
    <t>以上均正確。</t>
  </si>
  <si>
    <t>C</t>
    <phoneticPr fontId="1" type="noConversion"/>
  </si>
  <si>
    <t>A</t>
    <phoneticPr fontId="1" type="noConversion"/>
  </si>
  <si>
    <t>個人或單一單位若「自行製造且自己要拿來使用」25公斤以上無人機，因不對外大量販售，為簡化行政程序，法規允許由該「製造者」提出將型式與實體合併檢驗之特例申請。
依「遙控無人機管理規則」第17條：自行製造、使用之遙控無人機，其所有人應依第一項規定辦理產品資訊登錄。</t>
    <phoneticPr fontId="1" type="noConversion"/>
  </si>
  <si>
    <t>C</t>
    <phoneticPr fontId="1" type="noConversion"/>
  </si>
  <si>
    <t>為了避免無人機因突發氣流或操作失誤撞擊國家重大交通主幹及建築障礙物，法規設定了嚴格的水平安全距離界線：鐵路、高速公路、高鐵等干線旁飛行有特定禁止距離（部分甚至屬綠區邊界紅線外），而與盲區建築、高壓線障礙物等通常也應保持安全間距。
依據「遙控無人機管理規則」第28條，從事遙控無人機飛航活動時，務必遵守以下三大距離限制：周遭環境： 應遠離高速公路、快速道路、鐵路、捷運、建築物及障礙物 30公尺以上。飛行高度： 實際飛航高度不得超過距地面或水面 400呎 (約120公尺)。視距範圍： 須保持在操作人的 目視範圍內，不可使用望遠鏡等輔助工具延伸視距。</t>
    <phoneticPr fontId="1" type="noConversion"/>
  </si>
  <si>
    <t>C</t>
    <phoneticPr fontId="1" type="noConversion"/>
  </si>
  <si>
    <t>Question</t>
    <phoneticPr fontId="1" type="noConversion"/>
  </si>
  <si>
    <t>A</t>
    <phoneticPr fontId="1" type="noConversion"/>
  </si>
  <si>
    <t>B</t>
    <phoneticPr fontId="1" type="noConversion"/>
  </si>
  <si>
    <t>C</t>
    <phoneticPr fontId="1" type="noConversion"/>
  </si>
  <si>
    <t>D</t>
    <phoneticPr fontId="1" type="noConversion"/>
  </si>
  <si>
    <t>"="答案是： "&amp;IF(G2="A",1,IF(G2="B",2,IF(G2="C",3,IF(G2=("D"),4,"XXXX"))))"</t>
    <phoneticPr fontId="1" type="noConversion"/>
  </si>
  <si>
    <t>Note</t>
    <phoneticPr fontId="1" type="noConversion"/>
  </si>
  <si>
    <t xml:space="preserve">    </t>
    <phoneticPr fontId="1" type="noConversion"/>
  </si>
  <si>
    <t>朗讀完畢，祝你考試順利。</t>
    <phoneticPr fontId="1" type="noConversion"/>
  </si>
  <si>
    <t>從事遙控無人機飛航活動，不得裝載哪種物品？</t>
    <phoneticPr fontId="1" type="noConversion"/>
  </si>
  <si>
    <t>非法侵入機場四周或禁限航區，屬於極度危險、可能引發重大空難之惡性违規行為，因此民航法祭出最高罰則，處以「30萬元以上150萬元以下」之鉅額罰鍰，並得沒入無人機。
【!】5倍、影響飛航安全：公共極度危險 &lt;&lt; 一級 30。</t>
    <phoneticPr fontId="1" type="noConversion"/>
  </si>
  <si>
    <t>超高空飛行（超過400呎）極易闖入有人航空器（如直升機、民航機）之航道。此行為在法規修正後，其處罰與闖入禁限航區同等嚴重，處「30萬元以上150萬元以下」罰鍰。
【!】5倍、影響飛航安全：公共極度危險 &lt;&lt; 一級 30。</t>
    <phoneticPr fontId="1" type="noConversion"/>
  </si>
  <si>
    <t>針對無人機製造商、進口商未登錄資訊，或是所有人未遵守射頻識別、定期維修檢查、事故未通報等全面管理條款，處罰級距涵蓋範圍較廣，依法處「1萬元以上150萬元以下」罰鍰。
【!】150 倍、違反綜合規定：公共綜合危險 &lt;&lt; 數級 1 - 150。</t>
    <phoneticPr fontId="1" type="noConversion"/>
  </si>
  <si>
    <t>普通操作證學科測驗題庫</t>
  </si>
  <si>
    <t>第二章：基礎飛行原理</t>
  </si>
  <si>
    <t>115年7月22日版</t>
  </si>
  <si>
    <t>無人機相機鏡頭的視角（F O V）相當有限，形同「管窺」。操作人如果只盯著圖傳畫面，是完全無法察覺鏡頭死角外（如兩側或後方）突如其來的鳥類、其他有人/無人航空器或障礙物，因此答案為「否」，操作仍應盡量保持目視監視。</t>
    <phoneticPr fontId="1" type="noConversion"/>
  </si>
  <si>
    <t>凡屬依規定應考取操作證之機型（如法人所有機器或達特定重量之機器），若操作人「無照駕駛」，依法民航局將處以「6萬元以上30萬元以下」罰鍰。
依「民用航空法遙控無人機專章」118之2條罰則：違反第九十九條之十第二項規定，未領有操作證而操作遙控無人機。
【!】5倍、無照駕駛：公共中度危險 &lt;&lt; 二級 6。</t>
    <phoneticPr fontId="1" type="noConversion"/>
  </si>
  <si>
    <t>政府機關、學校、法人若經查獲未依規定投保第三人責任保險，或投保金額不足法定額度即擅自飛行，將被處以「6萬元以上30萬元以下」之罰鍰。
依「民用航空法遙控無人機專章」118之2條罰則：違反第九十九條之十五第三項規定，未投保或未足額投保責任保險而從事遙控無人機活動。
【!】5倍、未投保第三責任險：公共中度危險 &lt;&lt; 二級 6。</t>
    <phoneticPr fontId="1" type="noConversion"/>
  </si>
  <si>
    <t>達法定重量（250公克）以上之無人機必須辦理註冊。若「未註冊」或「未於機身標明註冊號碼」即行起飛，依法處以「3萬元以上15萬元以下」之罰鍰。
依「民用航空法遙控無人機專章」118之2條罰則：違反第九十九條之十第一項有關遙控無人機註冊或標明註冊號碼之規定。
【!】5倍、未作標示：公共輕度危險 &lt;&lt; 三級 3。</t>
    <phoneticPr fontId="1" type="noConversion"/>
  </si>
  <si>
    <t>闖入直轄市、縣（市）政府公告之禁止飛行空域（俗稱地方紅區），或違反地方公告之活動時間，其罰鍰額度為「3萬元以上15萬元以下」。
依「民用航空法遙控無人機專章」11之2條罰則：違反第九十九條之十三第二項有關直轄市、縣（市）政府公告之區域、時間及其他管理事項之規定。
【!】5倍、違規進入禁止區域：公共輕度危險 &lt;&lt; 三級 3。</t>
    <phoneticPr fontId="1" type="noConversion"/>
  </si>
  <si>
    <t>違反民航法第99條之14一般操作限制規定（如休閒娛樂用途操作人同時控制2架以上、夜間飛行、於人群聚集上空飛行等），處罰基準皆為「3萬元以上15萬元以下」罰鍰。
依「民用航空法遙控無人機專章」118之2條罰則：違反第九十九條之十四第一項第二款至第十款有關遙控無人機飛航活動應遵守之規定。
【!】5倍、違規進入禁止區域：公共輕度危險 &lt;&lt; 三級 3。</t>
    <phoneticPr fontId="1" type="noConversion"/>
  </si>
  <si>
    <t>最大起飛重量（Maximum Takeoff Weight, M T O W）是指航空器在結構與動力限制下可以安全起飛的總重量極限。其計算必須將空機「機體」、消耗性的「燃料/電池」以及所掛載的「相機酬載或外掛設備」全面加總，故選 (D)。</t>
    <phoneticPr fontId="1" type="noConversion"/>
  </si>
  <si>
    <t>在遙控無人機系統（U A S）中，用以傳遞地面控制站指令至飛機、並將飛機狀態回傳至地面的數據雙向通道，法定且精準的名稱為「通訊及控制信號鏈路」（亦簡稱信號鏈路）。</t>
    <phoneticPr fontId="1" type="noConversion"/>
  </si>
  <si>
    <t>為了達到高度的辨識性，號碼的字體顏色必須與號碼底色或機身塗裝「明顯反襯」（例如白底黑字、黑機身貼白字），切勿選擇與背景相近或融入背景的顏色。</t>
    <phoneticPr fontId="1" type="noConversion"/>
  </si>
  <si>
    <t>射頻識別（Remote I D）如同空中電子車牌。而決定何種重量級別以上的機器必須強制內建射頻識別功能，屬於民航空域電子秩序之規範，主掌機關當然是「民航局」。</t>
    <phoneticPr fontId="1" type="noConversion"/>
  </si>
  <si>
    <t>自然人（個人個人）休閒飛行管理採分級制：(1) 操作「未達2公斤」且為基本休閒無人機，法規完全豁免免考照；(2) 2公斤至未達15公斤須考取普通操作證（僅需學科）；(3) 15公斤以上須普通操作證（須學+術科）。故僅 (B) 正確。</t>
    <phoneticPr fontId="1" type="noConversion"/>
  </si>
  <si>
    <t>安全具有最高優先權。一旦發生重大異常或事故，為了防止該操作人帶著不確定風險再度違規飛行，民航局基於行政公權力，「得逕為（主動直接）暫停其操作或飛航活動」接受調查，不需經操作人或地方政府同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</si>
</sst>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新細明體"/>
      <family val="2"/>
      <scheme val="minor"/>
    </font>
    <font>
      <sz val="9"/>
      <name val="新細明體"/>
      <family val="3"/>
      <charset val="136"/>
      <scheme val="minor"/>
    </font>
    <font>
      <b/>
      <sz val="11"/>
      <color theme="1"/>
      <name val="新細明體"/>
      <family val="1"/>
      <charset val="136"/>
      <scheme val="minor"/>
    </font>
    <font>
      <sz val="11"/>
      <color theme="1"/>
      <name val="新細明體"/>
      <family val="1"/>
      <charset val="136"/>
      <scheme val="minor"/>
    </font>
    <font>
      <b/>
      <sz val="9"/>
      <color indexed="81"/>
      <name val="Tahoma"/>
      <family val="2"/>
    </font>
    <font>
      <sz val="9"/>
      <color indexed="81"/>
      <name val="Tahoma"/>
      <family val="2"/>
    </font>
    <font>
      <sz val="9"/>
      <color indexed="81"/>
      <name val="細明體"/>
      <family val="3"/>
      <charset val="136"/>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2" fillId="0" borderId="0" xfId="0" applyFont="1" applyAlignment="1">
      <alignment vertical="top" wrapText="1"/>
    </xf>
    <xf numFmtId="0" fontId="2"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3" fillId="0" borderId="0" xfId="0" applyFont="1"/>
    <xf numFmtId="0" fontId="3" fillId="2" borderId="0" xfId="0" applyFont="1" applyFill="1" applyAlignment="1">
      <alignment vertical="top" wrapText="1"/>
    </xf>
    <xf numFmtId="0" fontId="0" fillId="0" borderId="0" xfId="0" applyFill="1"/>
    <xf numFmtId="0" fontId="2" fillId="3" borderId="0" xfId="0" applyFont="1" applyFill="1" applyAlignment="1">
      <alignment vertical="top" wrapText="1"/>
    </xf>
    <xf numFmtId="0" fontId="2" fillId="0" borderId="0" xfId="0" applyFont="1" applyFill="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
  <sheetViews>
    <sheetView zoomScale="129" zoomScaleNormal="190" workbookViewId="0">
      <pane ySplit="1" topLeftCell="A2" activePane="bottomLeft" state="frozen"/>
      <selection pane="bottomLeft" activeCell="H1" sqref="H1"/>
    </sheetView>
  </sheetViews>
  <sheetFormatPr defaultColWidth="9" defaultRowHeight="15" x14ac:dyDescent="0.3"/>
  <cols>
    <col min="1" max="1" width="4.25" customWidth="1"/>
    <col min="2" max="2" width="37.5" customWidth="1"/>
    <col min="3" max="6" width="12.75" customWidth="1"/>
    <col min="7" max="7" width="4.875" customWidth="1"/>
    <col min="8" max="8" width="80" customWidth="1"/>
  </cols>
  <sheetData>
    <row r="1" spans="1:8" ht="30" x14ac:dyDescent="0.3">
      <c r="A1" s="9" t="s">
        <v>0</v>
      </c>
      <c r="B1" s="9" t="s">
        <v>1</v>
      </c>
      <c r="C1" s="9" t="s">
        <v>2</v>
      </c>
      <c r="D1" s="9" t="s">
        <v>3</v>
      </c>
      <c r="E1" s="9" t="s">
        <v>4</v>
      </c>
      <c r="F1" s="9" t="s">
        <v>5</v>
      </c>
      <c r="G1" s="9" t="s">
        <v>6</v>
      </c>
      <c r="H1" s="9" t="s">
        <v>7</v>
      </c>
    </row>
    <row r="2" spans="1:8" ht="45" x14ac:dyDescent="0.3">
      <c r="A2" s="2" t="s">
        <v>8</v>
      </c>
      <c r="B2" s="2" t="s">
        <v>9</v>
      </c>
      <c r="C2" s="2" t="s">
        <v>10</v>
      </c>
      <c r="D2" s="2" t="s">
        <v>11</v>
      </c>
      <c r="E2" s="2" t="s">
        <v>12</v>
      </c>
      <c r="F2" s="2" t="s">
        <v>13</v>
      </c>
      <c r="G2" s="2" t="s">
        <v>5</v>
      </c>
      <c r="H2" s="2" t="s">
        <v>14</v>
      </c>
    </row>
    <row r="3" spans="1:8" ht="60" x14ac:dyDescent="0.3">
      <c r="A3" s="2" t="s">
        <v>15</v>
      </c>
      <c r="B3" s="2" t="s">
        <v>16</v>
      </c>
      <c r="C3" s="2" t="s">
        <v>17</v>
      </c>
      <c r="D3" s="2" t="s">
        <v>18</v>
      </c>
      <c r="E3" s="2" t="s">
        <v>19</v>
      </c>
      <c r="F3" s="2" t="s">
        <v>13</v>
      </c>
      <c r="G3" s="2" t="s">
        <v>5</v>
      </c>
      <c r="H3" s="2" t="s">
        <v>20</v>
      </c>
    </row>
    <row r="4" spans="1:8" ht="45" x14ac:dyDescent="0.3">
      <c r="A4" s="2" t="s">
        <v>21</v>
      </c>
      <c r="B4" s="2" t="s">
        <v>22</v>
      </c>
      <c r="C4" s="2" t="s">
        <v>23</v>
      </c>
      <c r="D4" s="2" t="s">
        <v>24</v>
      </c>
      <c r="E4" s="2" t="s">
        <v>25</v>
      </c>
      <c r="F4" s="2" t="s">
        <v>13</v>
      </c>
      <c r="G4" s="2" t="s">
        <v>4</v>
      </c>
      <c r="H4" s="2" t="s">
        <v>26</v>
      </c>
    </row>
    <row r="5" spans="1:8" ht="60" x14ac:dyDescent="0.3">
      <c r="A5" s="2" t="s">
        <v>27</v>
      </c>
      <c r="B5" s="2" t="s">
        <v>28</v>
      </c>
      <c r="C5" s="2" t="s">
        <v>29</v>
      </c>
      <c r="D5" s="2" t="s">
        <v>30</v>
      </c>
      <c r="E5" s="2" t="s">
        <v>31</v>
      </c>
      <c r="F5" s="2" t="s">
        <v>32</v>
      </c>
      <c r="G5" s="2" t="s">
        <v>2</v>
      </c>
      <c r="H5" s="2" t="s">
        <v>33</v>
      </c>
    </row>
    <row r="6" spans="1:8" ht="75" x14ac:dyDescent="0.3">
      <c r="A6" s="2" t="s">
        <v>34</v>
      </c>
      <c r="B6" s="2" t="s">
        <v>35</v>
      </c>
      <c r="C6" s="2" t="s">
        <v>36</v>
      </c>
      <c r="D6" s="2" t="s">
        <v>37</v>
      </c>
      <c r="E6" s="2" t="s">
        <v>38</v>
      </c>
      <c r="F6" s="2" t="s">
        <v>39</v>
      </c>
      <c r="G6" s="2" t="s">
        <v>4</v>
      </c>
      <c r="H6" s="2" t="s">
        <v>40</v>
      </c>
    </row>
    <row r="7" spans="1:8" ht="60" x14ac:dyDescent="0.3">
      <c r="A7" s="2" t="s">
        <v>41</v>
      </c>
      <c r="B7" s="2" t="s">
        <v>42</v>
      </c>
      <c r="C7" s="2" t="s">
        <v>43</v>
      </c>
      <c r="D7" s="2" t="s">
        <v>44</v>
      </c>
      <c r="E7" s="2" t="s">
        <v>45</v>
      </c>
      <c r="F7" s="2" t="s">
        <v>46</v>
      </c>
      <c r="G7" s="2" t="s">
        <v>2</v>
      </c>
      <c r="H7" s="2" t="s">
        <v>550</v>
      </c>
    </row>
    <row r="8" spans="1:8" ht="30" x14ac:dyDescent="0.3">
      <c r="A8" s="2" t="s">
        <v>47</v>
      </c>
      <c r="B8" s="2" t="s">
        <v>48</v>
      </c>
      <c r="C8" s="2" t="s">
        <v>49</v>
      </c>
      <c r="D8" s="2" t="s">
        <v>50</v>
      </c>
      <c r="E8" s="2" t="s">
        <v>51</v>
      </c>
      <c r="F8" s="2" t="s">
        <v>52</v>
      </c>
      <c r="G8" s="2" t="s">
        <v>3</v>
      </c>
      <c r="H8" s="2" t="s">
        <v>53</v>
      </c>
    </row>
    <row r="9" spans="1:8" ht="45" x14ac:dyDescent="0.3">
      <c r="A9" s="2" t="s">
        <v>54</v>
      </c>
      <c r="B9" s="2" t="s">
        <v>55</v>
      </c>
      <c r="C9" s="2" t="s">
        <v>56</v>
      </c>
      <c r="D9" s="2" t="s">
        <v>57</v>
      </c>
      <c r="E9" s="2" t="s">
        <v>58</v>
      </c>
      <c r="F9" s="2" t="s">
        <v>13</v>
      </c>
      <c r="G9" s="2" t="s">
        <v>5</v>
      </c>
      <c r="H9" s="2" t="s">
        <v>59</v>
      </c>
    </row>
    <row r="10" spans="1:8" ht="45" x14ac:dyDescent="0.3">
      <c r="A10" s="2" t="s">
        <v>60</v>
      </c>
      <c r="B10" s="2" t="s">
        <v>61</v>
      </c>
      <c r="C10" s="2" t="s">
        <v>62</v>
      </c>
      <c r="D10" s="2" t="s">
        <v>63</v>
      </c>
      <c r="E10" s="2" t="s">
        <v>64</v>
      </c>
      <c r="F10" s="2" t="s">
        <v>13</v>
      </c>
      <c r="G10" s="2" t="s">
        <v>5</v>
      </c>
      <c r="H10" s="2" t="s">
        <v>65</v>
      </c>
    </row>
    <row r="11" spans="1:8" ht="45" x14ac:dyDescent="0.3">
      <c r="A11" s="2" t="s">
        <v>66</v>
      </c>
      <c r="B11" s="2" t="s">
        <v>67</v>
      </c>
      <c r="C11" s="2" t="s">
        <v>68</v>
      </c>
      <c r="D11" s="2" t="s">
        <v>69</v>
      </c>
      <c r="E11" s="2" t="s">
        <v>70</v>
      </c>
      <c r="F11" s="2" t="s">
        <v>13</v>
      </c>
      <c r="G11" s="2" t="s">
        <v>5</v>
      </c>
      <c r="H11" s="2" t="s">
        <v>71</v>
      </c>
    </row>
    <row r="12" spans="1:8" ht="45" x14ac:dyDescent="0.3">
      <c r="A12" s="2" t="s">
        <v>72</v>
      </c>
      <c r="B12" s="2" t="s">
        <v>73</v>
      </c>
      <c r="C12" s="2" t="s">
        <v>74</v>
      </c>
      <c r="D12" s="2" t="s">
        <v>75</v>
      </c>
      <c r="E12" s="2" t="s">
        <v>76</v>
      </c>
      <c r="F12" s="2" t="s">
        <v>77</v>
      </c>
      <c r="G12" s="2" t="s">
        <v>4</v>
      </c>
      <c r="H12" s="2" t="s">
        <v>78</v>
      </c>
    </row>
    <row r="13" spans="1:8" ht="45" x14ac:dyDescent="0.3">
      <c r="A13" s="2" t="s">
        <v>79</v>
      </c>
      <c r="B13" s="2" t="s">
        <v>80</v>
      </c>
      <c r="C13" s="2" t="s">
        <v>81</v>
      </c>
      <c r="D13" s="2" t="s">
        <v>82</v>
      </c>
      <c r="E13" s="2" t="s">
        <v>83</v>
      </c>
      <c r="F13" s="2" t="s">
        <v>13</v>
      </c>
      <c r="G13" s="2" t="s">
        <v>5</v>
      </c>
      <c r="H13" s="2" t="s">
        <v>84</v>
      </c>
    </row>
    <row r="14" spans="1:8" ht="45" x14ac:dyDescent="0.3">
      <c r="A14" s="2" t="s">
        <v>85</v>
      </c>
      <c r="B14" s="2" t="s">
        <v>86</v>
      </c>
      <c r="C14" s="2" t="s">
        <v>87</v>
      </c>
      <c r="D14" s="2" t="s">
        <v>88</v>
      </c>
      <c r="E14" s="2" t="s">
        <v>89</v>
      </c>
      <c r="F14" s="2" t="s">
        <v>90</v>
      </c>
      <c r="G14" s="2" t="s">
        <v>2</v>
      </c>
      <c r="H14" s="2" t="s">
        <v>91</v>
      </c>
    </row>
    <row r="15" spans="1:8" ht="45" x14ac:dyDescent="0.3">
      <c r="A15" s="2" t="s">
        <v>92</v>
      </c>
      <c r="B15" s="2" t="s">
        <v>93</v>
      </c>
      <c r="C15" s="2" t="s">
        <v>94</v>
      </c>
      <c r="D15" s="2" t="s">
        <v>95</v>
      </c>
      <c r="E15" s="2" t="s">
        <v>96</v>
      </c>
      <c r="F15" s="2" t="s">
        <v>97</v>
      </c>
      <c r="G15" s="2" t="s">
        <v>3</v>
      </c>
      <c r="H15" s="2" t="s">
        <v>98</v>
      </c>
    </row>
    <row r="16" spans="1:8" ht="45" x14ac:dyDescent="0.3">
      <c r="A16" s="2" t="s">
        <v>99</v>
      </c>
      <c r="B16" s="2" t="s">
        <v>100</v>
      </c>
      <c r="C16" s="2" t="s">
        <v>101</v>
      </c>
      <c r="D16" s="2" t="s">
        <v>102</v>
      </c>
      <c r="E16" s="2" t="s">
        <v>103</v>
      </c>
      <c r="F16" s="2" t="s">
        <v>104</v>
      </c>
      <c r="G16" s="2" t="s">
        <v>3</v>
      </c>
      <c r="H16" s="2" t="s">
        <v>105</v>
      </c>
    </row>
    <row r="17" spans="1:8" ht="75" x14ac:dyDescent="0.3">
      <c r="A17" s="2" t="s">
        <v>106</v>
      </c>
      <c r="B17" s="2" t="s">
        <v>107</v>
      </c>
      <c r="C17" s="2" t="s">
        <v>108</v>
      </c>
      <c r="D17" s="2" t="s">
        <v>109</v>
      </c>
      <c r="E17" s="2" t="s">
        <v>110</v>
      </c>
      <c r="F17" s="2" t="s">
        <v>13</v>
      </c>
      <c r="G17" s="2" t="s">
        <v>5</v>
      </c>
      <c r="H17" s="2" t="s">
        <v>111</v>
      </c>
    </row>
    <row r="18" spans="1:8" ht="60" x14ac:dyDescent="0.3">
      <c r="A18" s="2" t="s">
        <v>112</v>
      </c>
      <c r="B18" s="2" t="s">
        <v>113</v>
      </c>
      <c r="C18" s="2" t="s">
        <v>114</v>
      </c>
      <c r="D18" s="2" t="s">
        <v>115</v>
      </c>
      <c r="E18" s="2" t="s">
        <v>116</v>
      </c>
      <c r="F18" s="2" t="s">
        <v>13</v>
      </c>
      <c r="G18" s="2" t="s">
        <v>2</v>
      </c>
      <c r="H18" s="2" t="s">
        <v>117</v>
      </c>
    </row>
    <row r="19" spans="1:8" ht="45" x14ac:dyDescent="0.3">
      <c r="A19" s="2" t="s">
        <v>118</v>
      </c>
      <c r="B19" s="2" t="s">
        <v>119</v>
      </c>
      <c r="C19" s="2" t="s">
        <v>120</v>
      </c>
      <c r="D19" s="2" t="s">
        <v>121</v>
      </c>
      <c r="E19" s="2" t="s">
        <v>122</v>
      </c>
      <c r="F19" s="2" t="s">
        <v>123</v>
      </c>
      <c r="G19" s="2" t="s">
        <v>3</v>
      </c>
      <c r="H19" s="2" t="s">
        <v>124</v>
      </c>
    </row>
    <row r="20" spans="1:8" ht="45" x14ac:dyDescent="0.3">
      <c r="A20" s="2" t="s">
        <v>125</v>
      </c>
      <c r="B20" s="2" t="s">
        <v>126</v>
      </c>
      <c r="C20" s="2" t="s">
        <v>127</v>
      </c>
      <c r="D20" s="2" t="s">
        <v>128</v>
      </c>
      <c r="E20" s="2" t="s">
        <v>129</v>
      </c>
      <c r="F20" s="2" t="s">
        <v>13</v>
      </c>
      <c r="G20" s="2" t="s">
        <v>5</v>
      </c>
      <c r="H20" s="2" t="s">
        <v>130</v>
      </c>
    </row>
    <row r="21" spans="1:8" ht="75" x14ac:dyDescent="0.3">
      <c r="A21" s="2" t="s">
        <v>131</v>
      </c>
      <c r="B21" s="2" t="s">
        <v>132</v>
      </c>
      <c r="C21" s="2" t="s">
        <v>133</v>
      </c>
      <c r="D21" s="2" t="s">
        <v>134</v>
      </c>
      <c r="E21" s="2" t="s">
        <v>135</v>
      </c>
      <c r="F21" s="2" t="s">
        <v>13</v>
      </c>
      <c r="G21" s="2" t="s">
        <v>2</v>
      </c>
      <c r="H21" s="2" t="s">
        <v>136</v>
      </c>
    </row>
    <row r="22" spans="1:8" ht="30" x14ac:dyDescent="0.3">
      <c r="A22" s="2" t="s">
        <v>137</v>
      </c>
      <c r="B22" s="2" t="s">
        <v>138</v>
      </c>
      <c r="C22" s="2" t="s">
        <v>38</v>
      </c>
      <c r="D22" s="2" t="s">
        <v>139</v>
      </c>
      <c r="E22" s="2" t="s">
        <v>140</v>
      </c>
      <c r="F22" s="2" t="s">
        <v>141</v>
      </c>
      <c r="G22" s="2" t="s">
        <v>2</v>
      </c>
      <c r="H22" s="2" t="s">
        <v>142</v>
      </c>
    </row>
    <row r="23" spans="1:8" ht="60" x14ac:dyDescent="0.3">
      <c r="A23" s="2" t="s">
        <v>143</v>
      </c>
      <c r="B23" s="2" t="s">
        <v>144</v>
      </c>
      <c r="C23" s="2" t="s">
        <v>145</v>
      </c>
      <c r="D23" s="2" t="s">
        <v>146</v>
      </c>
      <c r="E23" s="2" t="s">
        <v>147</v>
      </c>
      <c r="F23" s="2" t="s">
        <v>13</v>
      </c>
      <c r="G23" s="2" t="s">
        <v>5</v>
      </c>
      <c r="H23" s="2" t="s">
        <v>148</v>
      </c>
    </row>
    <row r="24" spans="1:8" ht="45" x14ac:dyDescent="0.3">
      <c r="A24" s="2" t="s">
        <v>149</v>
      </c>
      <c r="B24" s="2" t="s">
        <v>150</v>
      </c>
      <c r="C24" s="2" t="s">
        <v>151</v>
      </c>
      <c r="D24" s="2" t="s">
        <v>152</v>
      </c>
      <c r="E24" s="2" t="s">
        <v>153</v>
      </c>
      <c r="F24" s="2" t="s">
        <v>154</v>
      </c>
      <c r="G24" s="2" t="s">
        <v>3</v>
      </c>
      <c r="H24" s="2" t="s">
        <v>155</v>
      </c>
    </row>
    <row r="25" spans="1:8" ht="90" x14ac:dyDescent="0.3">
      <c r="A25" s="2" t="s">
        <v>156</v>
      </c>
      <c r="B25" s="2" t="s">
        <v>157</v>
      </c>
      <c r="C25" s="2" t="s">
        <v>151</v>
      </c>
      <c r="D25" s="2" t="s">
        <v>139</v>
      </c>
      <c r="E25" s="2" t="s">
        <v>38</v>
      </c>
      <c r="F25" s="2" t="s">
        <v>39</v>
      </c>
      <c r="G25" s="2" t="s">
        <v>4</v>
      </c>
      <c r="H25" s="2" t="s">
        <v>158</v>
      </c>
    </row>
    <row r="26" spans="1:8" ht="90" x14ac:dyDescent="0.3">
      <c r="A26" s="2" t="s">
        <v>159</v>
      </c>
      <c r="B26" s="2" t="s">
        <v>160</v>
      </c>
      <c r="C26" s="2" t="s">
        <v>152</v>
      </c>
      <c r="D26" s="2" t="s">
        <v>139</v>
      </c>
      <c r="E26" s="2" t="s">
        <v>161</v>
      </c>
      <c r="F26" s="2" t="s">
        <v>162</v>
      </c>
      <c r="G26" s="2" t="s">
        <v>2</v>
      </c>
      <c r="H26" s="2" t="s">
        <v>163</v>
      </c>
    </row>
    <row r="27" spans="1:8" ht="45" x14ac:dyDescent="0.3">
      <c r="A27" s="2" t="s">
        <v>164</v>
      </c>
      <c r="B27" s="2" t="s">
        <v>165</v>
      </c>
      <c r="C27" s="2" t="s">
        <v>166</v>
      </c>
      <c r="D27" s="2" t="s">
        <v>167</v>
      </c>
      <c r="E27" s="2" t="s">
        <v>151</v>
      </c>
      <c r="F27" s="2" t="s">
        <v>153</v>
      </c>
      <c r="G27" s="2" t="s">
        <v>3</v>
      </c>
      <c r="H27" s="2" t="s">
        <v>168</v>
      </c>
    </row>
    <row r="28" spans="1:8" ht="61.8" customHeight="1" x14ac:dyDescent="0.3">
      <c r="A28" s="2" t="s">
        <v>169</v>
      </c>
      <c r="B28" s="2" t="s">
        <v>170</v>
      </c>
      <c r="C28" s="2" t="s">
        <v>171</v>
      </c>
      <c r="D28" s="2" t="s">
        <v>153</v>
      </c>
      <c r="E28" s="2" t="s">
        <v>172</v>
      </c>
      <c r="F28" s="2" t="s">
        <v>166</v>
      </c>
      <c r="G28" s="2" t="s">
        <v>4</v>
      </c>
      <c r="H28" s="2" t="s">
        <v>173</v>
      </c>
    </row>
    <row r="29" spans="1:8" ht="60" x14ac:dyDescent="0.3">
      <c r="A29" s="2" t="s">
        <v>174</v>
      </c>
      <c r="B29" s="2" t="s">
        <v>175</v>
      </c>
      <c r="C29" s="2" t="s">
        <v>152</v>
      </c>
      <c r="D29" s="2" t="s">
        <v>151</v>
      </c>
      <c r="E29" s="2" t="s">
        <v>153</v>
      </c>
      <c r="F29" s="2" t="s">
        <v>139</v>
      </c>
      <c r="G29" s="2" t="s">
        <v>2</v>
      </c>
      <c r="H29" s="2" t="s">
        <v>176</v>
      </c>
    </row>
    <row r="30" spans="1:8" ht="45" x14ac:dyDescent="0.3">
      <c r="A30" s="2" t="s">
        <v>177</v>
      </c>
      <c r="B30" s="2" t="s">
        <v>178</v>
      </c>
      <c r="C30" s="2" t="s">
        <v>179</v>
      </c>
      <c r="D30" s="2" t="s">
        <v>180</v>
      </c>
      <c r="E30" s="2" t="s">
        <v>181</v>
      </c>
      <c r="F30" s="2" t="s">
        <v>182</v>
      </c>
      <c r="G30" s="2" t="s">
        <v>3</v>
      </c>
      <c r="H30" s="2" t="s">
        <v>183</v>
      </c>
    </row>
    <row r="31" spans="1:8" ht="45" x14ac:dyDescent="0.3">
      <c r="A31" s="2" t="s">
        <v>184</v>
      </c>
      <c r="B31" s="2" t="s">
        <v>185</v>
      </c>
      <c r="C31" s="2" t="s">
        <v>186</v>
      </c>
      <c r="D31" s="2" t="s">
        <v>187</v>
      </c>
      <c r="E31" s="2" t="s">
        <v>188</v>
      </c>
      <c r="F31" s="2" t="s">
        <v>189</v>
      </c>
      <c r="G31" s="2" t="s">
        <v>4</v>
      </c>
      <c r="H31" s="2" t="s">
        <v>190</v>
      </c>
    </row>
    <row r="32" spans="1:8" ht="45" x14ac:dyDescent="0.3">
      <c r="A32" s="2" t="s">
        <v>191</v>
      </c>
      <c r="B32" s="2" t="s">
        <v>543</v>
      </c>
      <c r="C32" s="2" t="s">
        <v>192</v>
      </c>
      <c r="D32" s="2" t="s">
        <v>193</v>
      </c>
      <c r="E32" s="2" t="s">
        <v>194</v>
      </c>
      <c r="F32" s="2" t="s">
        <v>195</v>
      </c>
      <c r="G32" s="2" t="s">
        <v>4</v>
      </c>
      <c r="H32" s="2" t="s">
        <v>196</v>
      </c>
    </row>
    <row r="33" spans="1:8" ht="45" x14ac:dyDescent="0.3">
      <c r="A33" s="2" t="s">
        <v>197</v>
      </c>
      <c r="B33" s="2" t="s">
        <v>198</v>
      </c>
      <c r="C33" s="2" t="s">
        <v>139</v>
      </c>
      <c r="D33" s="2" t="s">
        <v>162</v>
      </c>
      <c r="E33" s="2" t="s">
        <v>140</v>
      </c>
      <c r="F33" s="2" t="s">
        <v>141</v>
      </c>
      <c r="G33" s="2" t="s">
        <v>3</v>
      </c>
      <c r="H33" s="2" t="s">
        <v>199</v>
      </c>
    </row>
    <row r="34" spans="1:8" ht="75" x14ac:dyDescent="0.3">
      <c r="A34" s="2" t="s">
        <v>200</v>
      </c>
      <c r="B34" s="2" t="s">
        <v>201</v>
      </c>
      <c r="C34" s="2" t="s">
        <v>202</v>
      </c>
      <c r="D34" s="2" t="s">
        <v>203</v>
      </c>
      <c r="E34" s="2" t="s">
        <v>204</v>
      </c>
      <c r="F34" s="2" t="s">
        <v>205</v>
      </c>
      <c r="G34" s="2" t="s">
        <v>2</v>
      </c>
      <c r="H34" s="2" t="s">
        <v>206</v>
      </c>
    </row>
    <row r="35" spans="1:8" ht="45" x14ac:dyDescent="0.3">
      <c r="A35" s="2" t="s">
        <v>207</v>
      </c>
      <c r="B35" s="2" t="s">
        <v>208</v>
      </c>
      <c r="C35" s="2" t="s">
        <v>209</v>
      </c>
      <c r="D35" s="2" t="s">
        <v>210</v>
      </c>
      <c r="E35" s="2" t="s">
        <v>211</v>
      </c>
      <c r="F35" s="2" t="s">
        <v>212</v>
      </c>
      <c r="G35" s="2" t="s">
        <v>2</v>
      </c>
      <c r="H35" s="2" t="s">
        <v>213</v>
      </c>
    </row>
    <row r="36" spans="1:8" ht="45" x14ac:dyDescent="0.3">
      <c r="A36" s="2" t="s">
        <v>214</v>
      </c>
      <c r="B36" s="2" t="s">
        <v>215</v>
      </c>
      <c r="C36" s="2" t="s">
        <v>216</v>
      </c>
      <c r="D36" s="2" t="s">
        <v>217</v>
      </c>
      <c r="E36" s="2" t="s">
        <v>218</v>
      </c>
      <c r="F36" s="2" t="s">
        <v>219</v>
      </c>
      <c r="G36" s="2" t="s">
        <v>2</v>
      </c>
      <c r="H36" s="2" t="s">
        <v>220</v>
      </c>
    </row>
    <row r="37" spans="1:8" s="8" customFormat="1" ht="45" x14ac:dyDescent="0.3">
      <c r="A37" s="10" t="s">
        <v>221</v>
      </c>
      <c r="B37" s="10" t="s">
        <v>222</v>
      </c>
      <c r="C37" s="10" t="s">
        <v>223</v>
      </c>
      <c r="D37" s="10" t="s">
        <v>224</v>
      </c>
      <c r="E37" s="10" t="s">
        <v>225</v>
      </c>
      <c r="F37" s="10" t="s">
        <v>123</v>
      </c>
      <c r="G37" s="10" t="s">
        <v>4</v>
      </c>
      <c r="H37" s="10" t="s">
        <v>226</v>
      </c>
    </row>
    <row r="38" spans="1:8" ht="45" x14ac:dyDescent="0.3">
      <c r="A38" s="2" t="s">
        <v>227</v>
      </c>
      <c r="B38" s="2" t="s">
        <v>228</v>
      </c>
      <c r="C38" s="2" t="s">
        <v>229</v>
      </c>
      <c r="D38" s="2" t="s">
        <v>230</v>
      </c>
      <c r="E38" s="2" t="s">
        <v>231</v>
      </c>
      <c r="F38" s="2" t="s">
        <v>13</v>
      </c>
      <c r="G38" s="2" t="s">
        <v>5</v>
      </c>
      <c r="H38" s="2" t="s">
        <v>232</v>
      </c>
    </row>
    <row r="39" spans="1:8" ht="60" x14ac:dyDescent="0.3">
      <c r="A39" s="2" t="s">
        <v>233</v>
      </c>
      <c r="B39" s="2" t="s">
        <v>234</v>
      </c>
      <c r="C39" s="2" t="s">
        <v>152</v>
      </c>
      <c r="D39" s="2" t="s">
        <v>38</v>
      </c>
      <c r="E39" s="2" t="s">
        <v>235</v>
      </c>
      <c r="F39" s="2" t="s">
        <v>139</v>
      </c>
      <c r="G39" s="2" t="s">
        <v>3</v>
      </c>
      <c r="H39" s="2" t="s">
        <v>236</v>
      </c>
    </row>
    <row r="40" spans="1:8" ht="60" x14ac:dyDescent="0.3">
      <c r="A40" s="2" t="s">
        <v>237</v>
      </c>
      <c r="B40" s="2" t="s">
        <v>238</v>
      </c>
      <c r="C40" s="2" t="s">
        <v>239</v>
      </c>
      <c r="D40" s="2" t="s">
        <v>152</v>
      </c>
      <c r="E40" s="2" t="s">
        <v>240</v>
      </c>
      <c r="F40" s="2" t="s">
        <v>241</v>
      </c>
      <c r="G40" s="2" t="s">
        <v>2</v>
      </c>
      <c r="H40" s="2" t="s">
        <v>242</v>
      </c>
    </row>
    <row r="41" spans="1:8" ht="45" x14ac:dyDescent="0.3">
      <c r="A41" s="2" t="s">
        <v>243</v>
      </c>
      <c r="B41" s="2" t="s">
        <v>244</v>
      </c>
      <c r="C41" s="2" t="s">
        <v>245</v>
      </c>
      <c r="D41" s="2" t="s">
        <v>246</v>
      </c>
      <c r="E41" s="2" t="s">
        <v>247</v>
      </c>
      <c r="F41" s="2" t="s">
        <v>13</v>
      </c>
      <c r="G41" s="2" t="s">
        <v>5</v>
      </c>
      <c r="H41" s="2" t="s">
        <v>248</v>
      </c>
    </row>
    <row r="42" spans="1:8" ht="45" x14ac:dyDescent="0.3">
      <c r="A42" s="2" t="s">
        <v>249</v>
      </c>
      <c r="B42" s="2" t="s">
        <v>250</v>
      </c>
      <c r="C42" s="2" t="s">
        <v>251</v>
      </c>
      <c r="D42" s="2" t="s">
        <v>252</v>
      </c>
      <c r="E42" s="2" t="s">
        <v>253</v>
      </c>
      <c r="F42" s="2" t="s">
        <v>254</v>
      </c>
      <c r="G42" s="2" t="s">
        <v>4</v>
      </c>
      <c r="H42" s="2" t="s">
        <v>255</v>
      </c>
    </row>
    <row r="43" spans="1:8" ht="60" x14ac:dyDescent="0.3">
      <c r="A43" s="2" t="s">
        <v>256</v>
      </c>
      <c r="B43" s="2" t="s">
        <v>257</v>
      </c>
      <c r="C43" s="2" t="s">
        <v>258</v>
      </c>
      <c r="D43" s="2" t="s">
        <v>259</v>
      </c>
      <c r="E43" s="2" t="s">
        <v>260</v>
      </c>
      <c r="F43" s="2" t="s">
        <v>261</v>
      </c>
      <c r="G43" s="2" t="s">
        <v>3</v>
      </c>
      <c r="H43" s="2" t="s">
        <v>262</v>
      </c>
    </row>
    <row r="44" spans="1:8" ht="90" x14ac:dyDescent="0.3">
      <c r="A44" s="2" t="s">
        <v>263</v>
      </c>
      <c r="B44" s="2" t="s">
        <v>264</v>
      </c>
      <c r="C44" s="2" t="s">
        <v>265</v>
      </c>
      <c r="D44" s="2" t="s">
        <v>266</v>
      </c>
      <c r="E44" s="2" t="s">
        <v>267</v>
      </c>
      <c r="F44" s="2" t="s">
        <v>268</v>
      </c>
      <c r="G44" s="2" t="s">
        <v>5</v>
      </c>
      <c r="H44" s="2" t="s">
        <v>544</v>
      </c>
    </row>
    <row r="45" spans="1:8" ht="75" x14ac:dyDescent="0.3">
      <c r="A45" s="2" t="s">
        <v>269</v>
      </c>
      <c r="B45" s="2" t="s">
        <v>270</v>
      </c>
      <c r="C45" s="2" t="s">
        <v>268</v>
      </c>
      <c r="D45" s="2" t="s">
        <v>271</v>
      </c>
      <c r="E45" s="2" t="s">
        <v>272</v>
      </c>
      <c r="F45" s="2" t="s">
        <v>273</v>
      </c>
      <c r="G45" s="2" t="s">
        <v>2</v>
      </c>
      <c r="H45" s="2" t="s">
        <v>545</v>
      </c>
    </row>
    <row r="46" spans="1:8" ht="90" x14ac:dyDescent="0.3">
      <c r="A46" s="2" t="s">
        <v>274</v>
      </c>
      <c r="B46" s="2" t="s">
        <v>275</v>
      </c>
      <c r="C46" s="2" t="s">
        <v>276</v>
      </c>
      <c r="D46" s="2" t="s">
        <v>265</v>
      </c>
      <c r="E46" s="2" t="s">
        <v>277</v>
      </c>
      <c r="F46" s="2" t="s">
        <v>278</v>
      </c>
      <c r="G46" s="10" t="s">
        <v>528</v>
      </c>
      <c r="H46" s="2" t="s">
        <v>551</v>
      </c>
    </row>
    <row r="47" spans="1:8" ht="90" x14ac:dyDescent="0.3">
      <c r="A47" s="2" t="s">
        <v>279</v>
      </c>
      <c r="B47" s="2" t="s">
        <v>280</v>
      </c>
      <c r="C47" s="2" t="s">
        <v>277</v>
      </c>
      <c r="D47" s="2" t="s">
        <v>281</v>
      </c>
      <c r="E47" s="2" t="s">
        <v>276</v>
      </c>
      <c r="F47" s="2" t="s">
        <v>282</v>
      </c>
      <c r="G47" s="10" t="s">
        <v>529</v>
      </c>
      <c r="H47" s="2" t="s">
        <v>552</v>
      </c>
    </row>
    <row r="48" spans="1:8" ht="90" x14ac:dyDescent="0.3">
      <c r="A48" s="2" t="s">
        <v>283</v>
      </c>
      <c r="B48" s="2" t="s">
        <v>284</v>
      </c>
      <c r="C48" s="2" t="s">
        <v>267</v>
      </c>
      <c r="D48" s="2" t="s">
        <v>278</v>
      </c>
      <c r="E48" s="2" t="s">
        <v>266</v>
      </c>
      <c r="F48" s="2" t="s">
        <v>285</v>
      </c>
      <c r="G48" s="2" t="s">
        <v>5</v>
      </c>
      <c r="H48" s="2" t="s">
        <v>553</v>
      </c>
    </row>
    <row r="49" spans="1:8" ht="90" x14ac:dyDescent="0.3">
      <c r="A49" s="2" t="s">
        <v>286</v>
      </c>
      <c r="B49" s="2" t="s">
        <v>287</v>
      </c>
      <c r="C49" s="2" t="s">
        <v>285</v>
      </c>
      <c r="D49" s="2" t="s">
        <v>266</v>
      </c>
      <c r="E49" s="2" t="s">
        <v>288</v>
      </c>
      <c r="F49" s="2" t="s">
        <v>289</v>
      </c>
      <c r="G49" s="2" t="s">
        <v>2</v>
      </c>
      <c r="H49" s="2" t="s">
        <v>554</v>
      </c>
    </row>
    <row r="50" spans="1:8" ht="90" x14ac:dyDescent="0.3">
      <c r="A50" s="2" t="s">
        <v>290</v>
      </c>
      <c r="B50" s="2" t="s">
        <v>291</v>
      </c>
      <c r="C50" s="2" t="s">
        <v>267</v>
      </c>
      <c r="D50" s="2" t="s">
        <v>278</v>
      </c>
      <c r="E50" s="2" t="s">
        <v>266</v>
      </c>
      <c r="F50" s="2" t="s">
        <v>285</v>
      </c>
      <c r="G50" s="2" t="s">
        <v>5</v>
      </c>
      <c r="H50" s="2" t="s">
        <v>555</v>
      </c>
    </row>
    <row r="51" spans="1:8" ht="105" x14ac:dyDescent="0.3">
      <c r="A51" s="2" t="s">
        <v>292</v>
      </c>
      <c r="B51" s="2" t="s">
        <v>293</v>
      </c>
      <c r="C51" s="2" t="s">
        <v>294</v>
      </c>
      <c r="D51" s="2" t="s">
        <v>295</v>
      </c>
      <c r="E51" s="2" t="s">
        <v>296</v>
      </c>
      <c r="F51" s="2" t="s">
        <v>297</v>
      </c>
      <c r="G51" s="2" t="s">
        <v>2</v>
      </c>
      <c r="H51" s="2" t="s">
        <v>546</v>
      </c>
    </row>
    <row r="52" spans="1:8" ht="45" x14ac:dyDescent="0.3">
      <c r="A52" s="2" t="s">
        <v>298</v>
      </c>
      <c r="B52" s="2" t="s">
        <v>299</v>
      </c>
      <c r="C52" s="2" t="s">
        <v>300</v>
      </c>
      <c r="D52" s="2" t="s">
        <v>301</v>
      </c>
      <c r="E52" s="2" t="s">
        <v>302</v>
      </c>
      <c r="F52" s="2" t="s">
        <v>303</v>
      </c>
      <c r="G52" s="2" t="s">
        <v>3</v>
      </c>
      <c r="H52" s="2" t="s">
        <v>557</v>
      </c>
    </row>
    <row r="53" spans="1:8" ht="60" x14ac:dyDescent="0.3">
      <c r="A53" s="2" t="s">
        <v>304</v>
      </c>
      <c r="B53" s="2" t="s">
        <v>305</v>
      </c>
      <c r="C53" s="2" t="s">
        <v>306</v>
      </c>
      <c r="D53" s="2" t="s">
        <v>307</v>
      </c>
      <c r="E53" s="2" t="s">
        <v>308</v>
      </c>
      <c r="F53" s="2" t="s">
        <v>13</v>
      </c>
      <c r="G53" s="2" t="s">
        <v>5</v>
      </c>
      <c r="H53" s="2" t="s">
        <v>556</v>
      </c>
    </row>
    <row r="54" spans="1:8" ht="45" x14ac:dyDescent="0.3">
      <c r="A54" s="2" t="s">
        <v>309</v>
      </c>
      <c r="B54" s="2" t="s">
        <v>310</v>
      </c>
      <c r="C54" s="2" t="s">
        <v>311</v>
      </c>
      <c r="D54" s="2" t="s">
        <v>312</v>
      </c>
      <c r="E54" s="2" t="s">
        <v>313</v>
      </c>
      <c r="F54" s="2" t="s">
        <v>123</v>
      </c>
      <c r="G54" s="2" t="s">
        <v>3</v>
      </c>
      <c r="H54" s="2" t="s">
        <v>314</v>
      </c>
    </row>
    <row r="55" spans="1:8" ht="61.8" customHeight="1" x14ac:dyDescent="0.3">
      <c r="A55" s="2" t="s">
        <v>315</v>
      </c>
      <c r="B55" s="2" t="s">
        <v>316</v>
      </c>
      <c r="C55" s="2" t="s">
        <v>317</v>
      </c>
      <c r="D55" s="2" t="s">
        <v>311</v>
      </c>
      <c r="E55" s="2" t="s">
        <v>318</v>
      </c>
      <c r="F55" s="2" t="s">
        <v>319</v>
      </c>
      <c r="G55" s="2" t="s">
        <v>3</v>
      </c>
      <c r="H55" s="2" t="s">
        <v>320</v>
      </c>
    </row>
    <row r="56" spans="1:8" ht="45" x14ac:dyDescent="0.3">
      <c r="A56" s="2" t="s">
        <v>321</v>
      </c>
      <c r="B56" s="2" t="s">
        <v>322</v>
      </c>
      <c r="C56" s="2" t="s">
        <v>323</v>
      </c>
      <c r="D56" s="2" t="s">
        <v>324</v>
      </c>
      <c r="E56" s="2" t="s">
        <v>325</v>
      </c>
      <c r="F56" s="2" t="s">
        <v>13</v>
      </c>
      <c r="G56" s="2" t="s">
        <v>5</v>
      </c>
      <c r="H56" s="2" t="s">
        <v>326</v>
      </c>
    </row>
    <row r="57" spans="1:8" ht="45" x14ac:dyDescent="0.3">
      <c r="A57" s="2" t="s">
        <v>327</v>
      </c>
      <c r="B57" s="2" t="s">
        <v>328</v>
      </c>
      <c r="C57" s="2" t="s">
        <v>329</v>
      </c>
      <c r="D57" s="2" t="s">
        <v>330</v>
      </c>
      <c r="E57" s="2" t="s">
        <v>331</v>
      </c>
      <c r="F57" s="2" t="s">
        <v>332</v>
      </c>
      <c r="G57" s="2" t="s">
        <v>3</v>
      </c>
      <c r="H57" s="2" t="s">
        <v>333</v>
      </c>
    </row>
    <row r="58" spans="1:8" ht="45" x14ac:dyDescent="0.3">
      <c r="A58" s="2" t="s">
        <v>334</v>
      </c>
      <c r="B58" s="2" t="s">
        <v>335</v>
      </c>
      <c r="C58" s="2" t="s">
        <v>336</v>
      </c>
      <c r="D58" s="2" t="s">
        <v>337</v>
      </c>
      <c r="E58" s="2" t="s">
        <v>338</v>
      </c>
      <c r="F58" s="2" t="s">
        <v>339</v>
      </c>
      <c r="G58" s="2" t="s">
        <v>2</v>
      </c>
      <c r="H58" s="2" t="s">
        <v>340</v>
      </c>
    </row>
    <row r="59" spans="1:8" ht="75" x14ac:dyDescent="0.3">
      <c r="A59" s="2" t="s">
        <v>341</v>
      </c>
      <c r="B59" s="2" t="s">
        <v>342</v>
      </c>
      <c r="C59" s="2" t="s">
        <v>343</v>
      </c>
      <c r="D59" s="2" t="s">
        <v>344</v>
      </c>
      <c r="E59" s="2" t="s">
        <v>345</v>
      </c>
      <c r="F59" s="2" t="s">
        <v>123</v>
      </c>
      <c r="G59" s="2" t="s">
        <v>2</v>
      </c>
      <c r="H59" s="2" t="s">
        <v>346</v>
      </c>
    </row>
    <row r="60" spans="1:8" ht="45" x14ac:dyDescent="0.3">
      <c r="A60" s="2" t="s">
        <v>347</v>
      </c>
      <c r="B60" s="2" t="s">
        <v>348</v>
      </c>
      <c r="C60" s="2" t="s">
        <v>349</v>
      </c>
      <c r="D60" s="2" t="s">
        <v>350</v>
      </c>
      <c r="E60" s="2" t="s">
        <v>351</v>
      </c>
      <c r="F60" s="2" t="s">
        <v>352</v>
      </c>
      <c r="G60" s="2" t="s">
        <v>4</v>
      </c>
      <c r="H60" s="2" t="s">
        <v>353</v>
      </c>
    </row>
    <row r="61" spans="1:8" ht="45" x14ac:dyDescent="0.3">
      <c r="A61" s="2" t="s">
        <v>354</v>
      </c>
      <c r="B61" s="2" t="s">
        <v>355</v>
      </c>
      <c r="C61" s="2" t="s">
        <v>356</v>
      </c>
      <c r="D61" s="2" t="s">
        <v>357</v>
      </c>
      <c r="E61" s="2" t="s">
        <v>358</v>
      </c>
      <c r="F61" s="2" t="s">
        <v>13</v>
      </c>
      <c r="G61" s="2" t="s">
        <v>5</v>
      </c>
      <c r="H61" s="2" t="s">
        <v>359</v>
      </c>
    </row>
    <row r="62" spans="1:8" ht="45" x14ac:dyDescent="0.3">
      <c r="A62" s="2" t="s">
        <v>360</v>
      </c>
      <c r="B62" s="2" t="s">
        <v>361</v>
      </c>
      <c r="C62" s="2" t="s">
        <v>362</v>
      </c>
      <c r="D62" s="2" t="s">
        <v>363</v>
      </c>
      <c r="E62" s="2" t="s">
        <v>364</v>
      </c>
      <c r="F62" s="2" t="s">
        <v>365</v>
      </c>
      <c r="G62" s="2" t="s">
        <v>3</v>
      </c>
      <c r="H62" s="2" t="s">
        <v>366</v>
      </c>
    </row>
    <row r="63" spans="1:8" ht="45" x14ac:dyDescent="0.3">
      <c r="A63" s="2" t="s">
        <v>367</v>
      </c>
      <c r="B63" s="2" t="s">
        <v>368</v>
      </c>
      <c r="C63" s="2" t="s">
        <v>369</v>
      </c>
      <c r="D63" s="2" t="s">
        <v>370</v>
      </c>
      <c r="E63" s="2" t="s">
        <v>371</v>
      </c>
      <c r="F63" s="2" t="s">
        <v>212</v>
      </c>
      <c r="G63" s="2" t="s">
        <v>4</v>
      </c>
      <c r="H63" s="2" t="s">
        <v>558</v>
      </c>
    </row>
    <row r="64" spans="1:8" ht="45" x14ac:dyDescent="0.3">
      <c r="A64" s="2" t="s">
        <v>372</v>
      </c>
      <c r="B64" s="2" t="s">
        <v>373</v>
      </c>
      <c r="C64" s="2" t="s">
        <v>374</v>
      </c>
      <c r="D64" s="2" t="s">
        <v>375</v>
      </c>
      <c r="E64" s="2" t="s">
        <v>376</v>
      </c>
      <c r="F64" s="2" t="s">
        <v>13</v>
      </c>
      <c r="G64" s="2" t="s">
        <v>5</v>
      </c>
      <c r="H64" s="2" t="s">
        <v>377</v>
      </c>
    </row>
    <row r="65" spans="1:8" ht="60" x14ac:dyDescent="0.3">
      <c r="A65" s="2" t="s">
        <v>378</v>
      </c>
      <c r="B65" s="2" t="s">
        <v>373</v>
      </c>
      <c r="C65" s="2" t="s">
        <v>379</v>
      </c>
      <c r="D65" s="2" t="s">
        <v>380</v>
      </c>
      <c r="E65" s="2" t="s">
        <v>381</v>
      </c>
      <c r="F65" s="2" t="s">
        <v>382</v>
      </c>
      <c r="G65" s="2" t="s">
        <v>2</v>
      </c>
      <c r="H65" s="2" t="s">
        <v>383</v>
      </c>
    </row>
    <row r="66" spans="1:8" ht="63" customHeight="1" x14ac:dyDescent="0.3">
      <c r="A66" s="2" t="s">
        <v>384</v>
      </c>
      <c r="B66" s="2" t="s">
        <v>385</v>
      </c>
      <c r="C66" s="2" t="s">
        <v>139</v>
      </c>
      <c r="D66" s="2" t="s">
        <v>140</v>
      </c>
      <c r="E66" s="2" t="s">
        <v>39</v>
      </c>
      <c r="F66" s="2" t="s">
        <v>38</v>
      </c>
      <c r="G66" s="2" t="s">
        <v>5</v>
      </c>
      <c r="H66" s="2" t="s">
        <v>559</v>
      </c>
    </row>
    <row r="67" spans="1:8" ht="45" x14ac:dyDescent="0.3">
      <c r="A67" s="2" t="s">
        <v>386</v>
      </c>
      <c r="B67" s="2" t="s">
        <v>387</v>
      </c>
      <c r="C67" s="2" t="s">
        <v>317</v>
      </c>
      <c r="D67" s="2" t="s">
        <v>318</v>
      </c>
      <c r="E67" s="2" t="s">
        <v>388</v>
      </c>
      <c r="F67" s="2" t="s">
        <v>389</v>
      </c>
      <c r="G67" s="2" t="s">
        <v>5</v>
      </c>
      <c r="H67" s="2" t="s">
        <v>390</v>
      </c>
    </row>
    <row r="68" spans="1:8" s="8" customFormat="1" ht="45" x14ac:dyDescent="0.3">
      <c r="A68" s="10" t="s">
        <v>391</v>
      </c>
      <c r="B68" s="10" t="s">
        <v>392</v>
      </c>
      <c r="C68" s="10" t="s">
        <v>38</v>
      </c>
      <c r="D68" s="10" t="s">
        <v>139</v>
      </c>
      <c r="E68" s="10" t="s">
        <v>140</v>
      </c>
      <c r="F68" s="10" t="s">
        <v>39</v>
      </c>
      <c r="G68" s="10" t="s">
        <v>2</v>
      </c>
      <c r="H68" s="10" t="s">
        <v>393</v>
      </c>
    </row>
    <row r="69" spans="1:8" ht="30" x14ac:dyDescent="0.3">
      <c r="A69" s="2" t="s">
        <v>394</v>
      </c>
      <c r="B69" s="2" t="s">
        <v>395</v>
      </c>
      <c r="C69" s="2" t="s">
        <v>396</v>
      </c>
      <c r="D69" s="2" t="s">
        <v>397</v>
      </c>
      <c r="E69" s="2" t="s">
        <v>398</v>
      </c>
      <c r="F69" s="2" t="s">
        <v>317</v>
      </c>
      <c r="G69" s="2" t="s">
        <v>4</v>
      </c>
      <c r="H69" s="2" t="s">
        <v>399</v>
      </c>
    </row>
    <row r="70" spans="1:8" ht="63" customHeight="1" x14ac:dyDescent="0.3">
      <c r="A70" s="2" t="s">
        <v>400</v>
      </c>
      <c r="B70" s="2" t="s">
        <v>401</v>
      </c>
      <c r="C70" s="2" t="s">
        <v>139</v>
      </c>
      <c r="D70" s="2" t="s">
        <v>140</v>
      </c>
      <c r="E70" s="2" t="s">
        <v>39</v>
      </c>
      <c r="F70" s="2" t="s">
        <v>38</v>
      </c>
      <c r="G70" s="2" t="s">
        <v>5</v>
      </c>
      <c r="H70" s="2" t="s">
        <v>402</v>
      </c>
    </row>
    <row r="71" spans="1:8" ht="60" x14ac:dyDescent="0.3">
      <c r="A71" s="2" t="s">
        <v>403</v>
      </c>
      <c r="B71" s="2" t="s">
        <v>404</v>
      </c>
      <c r="C71" s="2" t="s">
        <v>396</v>
      </c>
      <c r="D71" s="2" t="s">
        <v>397</v>
      </c>
      <c r="E71" s="2" t="s">
        <v>317</v>
      </c>
      <c r="F71" s="2" t="s">
        <v>318</v>
      </c>
      <c r="G71" s="2" t="s">
        <v>3</v>
      </c>
      <c r="H71" s="2" t="s">
        <v>405</v>
      </c>
    </row>
    <row r="72" spans="1:8" ht="60" x14ac:dyDescent="0.3">
      <c r="A72" s="2" t="s">
        <v>406</v>
      </c>
      <c r="B72" s="2" t="s">
        <v>407</v>
      </c>
      <c r="C72" s="2" t="s">
        <v>38</v>
      </c>
      <c r="D72" s="2" t="s">
        <v>139</v>
      </c>
      <c r="E72" s="2" t="s">
        <v>140</v>
      </c>
      <c r="F72" s="2" t="s">
        <v>39</v>
      </c>
      <c r="G72" s="2" t="s">
        <v>2</v>
      </c>
      <c r="H72" s="2" t="s">
        <v>408</v>
      </c>
    </row>
    <row r="73" spans="1:8" ht="75" x14ac:dyDescent="0.3">
      <c r="A73" s="2" t="s">
        <v>409</v>
      </c>
      <c r="B73" s="2" t="s">
        <v>410</v>
      </c>
      <c r="C73" s="2" t="s">
        <v>318</v>
      </c>
      <c r="D73" s="2" t="s">
        <v>396</v>
      </c>
      <c r="E73" s="2" t="s">
        <v>397</v>
      </c>
      <c r="F73" s="2" t="s">
        <v>317</v>
      </c>
      <c r="G73" s="10" t="s">
        <v>531</v>
      </c>
      <c r="H73" s="2" t="s">
        <v>530</v>
      </c>
    </row>
    <row r="74" spans="1:8" ht="60" x14ac:dyDescent="0.3">
      <c r="A74" s="2" t="s">
        <v>411</v>
      </c>
      <c r="B74" s="2" t="s">
        <v>412</v>
      </c>
      <c r="C74" s="2" t="s">
        <v>140</v>
      </c>
      <c r="D74" s="2" t="s">
        <v>38</v>
      </c>
      <c r="E74" s="2" t="s">
        <v>39</v>
      </c>
      <c r="F74" s="2" t="s">
        <v>139</v>
      </c>
      <c r="G74" s="2" t="s">
        <v>3</v>
      </c>
      <c r="H74" s="2" t="s">
        <v>413</v>
      </c>
    </row>
    <row r="75" spans="1:8" ht="60" x14ac:dyDescent="0.3">
      <c r="A75" s="2" t="s">
        <v>414</v>
      </c>
      <c r="B75" s="2" t="s">
        <v>415</v>
      </c>
      <c r="C75" s="2" t="s">
        <v>416</v>
      </c>
      <c r="D75" s="2" t="s">
        <v>417</v>
      </c>
      <c r="E75" s="2" t="s">
        <v>418</v>
      </c>
      <c r="F75" s="2" t="s">
        <v>419</v>
      </c>
      <c r="G75" s="2" t="s">
        <v>5</v>
      </c>
      <c r="H75" s="2" t="s">
        <v>420</v>
      </c>
    </row>
    <row r="76" spans="1:8" ht="45" x14ac:dyDescent="0.3">
      <c r="A76" s="2" t="s">
        <v>421</v>
      </c>
      <c r="B76" s="2" t="s">
        <v>422</v>
      </c>
      <c r="C76" s="2" t="s">
        <v>423</v>
      </c>
      <c r="D76" s="2" t="s">
        <v>424</v>
      </c>
      <c r="E76" s="2" t="s">
        <v>425</v>
      </c>
      <c r="F76" s="2" t="s">
        <v>389</v>
      </c>
      <c r="G76" s="2" t="s">
        <v>2</v>
      </c>
      <c r="H76" s="2" t="s">
        <v>426</v>
      </c>
    </row>
    <row r="77" spans="1:8" ht="30" x14ac:dyDescent="0.3">
      <c r="A77" s="2" t="s">
        <v>427</v>
      </c>
      <c r="B77" s="2" t="s">
        <v>428</v>
      </c>
      <c r="C77" s="2" t="s">
        <v>140</v>
      </c>
      <c r="D77" s="2" t="s">
        <v>39</v>
      </c>
      <c r="E77" s="2" t="s">
        <v>38</v>
      </c>
      <c r="F77" s="2" t="s">
        <v>429</v>
      </c>
      <c r="G77" s="2" t="s">
        <v>4</v>
      </c>
      <c r="H77" s="2" t="s">
        <v>430</v>
      </c>
    </row>
    <row r="78" spans="1:8" ht="60" x14ac:dyDescent="0.3">
      <c r="A78" s="2" t="s">
        <v>431</v>
      </c>
      <c r="B78" s="2" t="s">
        <v>432</v>
      </c>
      <c r="C78" s="2" t="s">
        <v>433</v>
      </c>
      <c r="D78" s="2" t="s">
        <v>434</v>
      </c>
      <c r="E78" s="2" t="s">
        <v>435</v>
      </c>
      <c r="F78" s="2" t="s">
        <v>436</v>
      </c>
      <c r="G78" s="2" t="s">
        <v>5</v>
      </c>
      <c r="H78" s="2" t="s">
        <v>437</v>
      </c>
    </row>
    <row r="79" spans="1:8" ht="45" x14ac:dyDescent="0.3">
      <c r="A79" s="2" t="s">
        <v>438</v>
      </c>
      <c r="B79" s="2" t="s">
        <v>439</v>
      </c>
      <c r="C79" s="2" t="s">
        <v>440</v>
      </c>
      <c r="D79" s="2" t="s">
        <v>441</v>
      </c>
      <c r="E79" s="2" t="s">
        <v>442</v>
      </c>
      <c r="F79" s="2" t="s">
        <v>443</v>
      </c>
      <c r="G79" s="2" t="s">
        <v>3</v>
      </c>
      <c r="H79" s="2" t="s">
        <v>444</v>
      </c>
    </row>
    <row r="80" spans="1:8" ht="45" x14ac:dyDescent="0.3">
      <c r="A80" s="2" t="s">
        <v>445</v>
      </c>
      <c r="B80" s="2" t="s">
        <v>446</v>
      </c>
      <c r="C80" s="2" t="s">
        <v>447</v>
      </c>
      <c r="D80" s="2" t="s">
        <v>448</v>
      </c>
      <c r="E80" s="2" t="s">
        <v>449</v>
      </c>
      <c r="F80" s="2" t="s">
        <v>450</v>
      </c>
      <c r="G80" s="2" t="s">
        <v>2</v>
      </c>
      <c r="H80" s="2" t="s">
        <v>451</v>
      </c>
    </row>
    <row r="81" spans="1:8" ht="75" x14ac:dyDescent="0.3">
      <c r="A81" s="2" t="s">
        <v>452</v>
      </c>
      <c r="B81" s="2" t="s">
        <v>453</v>
      </c>
      <c r="C81" s="2" t="s">
        <v>454</v>
      </c>
      <c r="D81" s="2" t="s">
        <v>455</v>
      </c>
      <c r="E81" s="2" t="s">
        <v>456</v>
      </c>
      <c r="F81" s="2" t="s">
        <v>457</v>
      </c>
      <c r="G81" s="2" t="s">
        <v>3</v>
      </c>
      <c r="H81" s="2" t="s">
        <v>560</v>
      </c>
    </row>
    <row r="82" spans="1:8" ht="60" x14ac:dyDescent="0.3">
      <c r="A82" s="2" t="s">
        <v>458</v>
      </c>
      <c r="B82" s="2" t="s">
        <v>459</v>
      </c>
      <c r="C82" s="2" t="s">
        <v>460</v>
      </c>
      <c r="D82" s="2" t="s">
        <v>461</v>
      </c>
      <c r="E82" s="2" t="s">
        <v>462</v>
      </c>
      <c r="F82" s="2" t="s">
        <v>463</v>
      </c>
      <c r="G82" s="2" t="s">
        <v>5</v>
      </c>
      <c r="H82" s="2" t="s">
        <v>464</v>
      </c>
    </row>
    <row r="83" spans="1:8" ht="60" x14ac:dyDescent="0.3">
      <c r="A83" s="2" t="s">
        <v>465</v>
      </c>
      <c r="B83" s="2" t="s">
        <v>466</v>
      </c>
      <c r="C83" s="2" t="s">
        <v>467</v>
      </c>
      <c r="D83" s="2" t="s">
        <v>468</v>
      </c>
      <c r="E83" s="2" t="s">
        <v>469</v>
      </c>
      <c r="F83" s="2" t="s">
        <v>470</v>
      </c>
      <c r="G83" s="2" t="s">
        <v>2</v>
      </c>
      <c r="H83" s="2" t="s">
        <v>471</v>
      </c>
    </row>
    <row r="84" spans="1:8" ht="45" x14ac:dyDescent="0.3">
      <c r="A84" s="2" t="s">
        <v>472</v>
      </c>
      <c r="B84" s="2" t="s">
        <v>473</v>
      </c>
      <c r="C84" s="2" t="s">
        <v>474</v>
      </c>
      <c r="D84" s="2" t="s">
        <v>475</v>
      </c>
      <c r="E84" s="2" t="s">
        <v>476</v>
      </c>
      <c r="F84" s="2" t="s">
        <v>477</v>
      </c>
      <c r="G84" s="2" t="s">
        <v>5</v>
      </c>
      <c r="H84" s="2" t="s">
        <v>478</v>
      </c>
    </row>
    <row r="85" spans="1:8" ht="60" x14ac:dyDescent="0.3">
      <c r="A85" s="2" t="s">
        <v>479</v>
      </c>
      <c r="B85" s="2" t="s">
        <v>480</v>
      </c>
      <c r="C85" s="2" t="s">
        <v>481</v>
      </c>
      <c r="D85" s="2" t="s">
        <v>482</v>
      </c>
      <c r="E85" s="2" t="s">
        <v>483</v>
      </c>
      <c r="F85" s="2" t="s">
        <v>484</v>
      </c>
      <c r="G85" s="2" t="s">
        <v>4</v>
      </c>
      <c r="H85" s="2" t="s">
        <v>485</v>
      </c>
    </row>
    <row r="86" spans="1:8" ht="45" x14ac:dyDescent="0.3">
      <c r="A86" s="2" t="s">
        <v>486</v>
      </c>
      <c r="B86" s="2" t="s">
        <v>487</v>
      </c>
      <c r="C86" s="2" t="s">
        <v>488</v>
      </c>
      <c r="D86" s="2" t="s">
        <v>489</v>
      </c>
      <c r="E86" s="2" t="s">
        <v>490</v>
      </c>
      <c r="F86" s="2" t="s">
        <v>13</v>
      </c>
      <c r="G86" s="2" t="s">
        <v>5</v>
      </c>
      <c r="H86" s="2" t="s">
        <v>491</v>
      </c>
    </row>
    <row r="87" spans="1:8" ht="75" x14ac:dyDescent="0.3">
      <c r="A87" s="2" t="s">
        <v>492</v>
      </c>
      <c r="B87" s="2" t="s">
        <v>493</v>
      </c>
      <c r="C87" s="2" t="s">
        <v>494</v>
      </c>
      <c r="D87" s="2" t="s">
        <v>495</v>
      </c>
      <c r="E87" s="2" t="s">
        <v>496</v>
      </c>
      <c r="F87" s="2" t="s">
        <v>497</v>
      </c>
      <c r="G87" s="2" t="s">
        <v>4</v>
      </c>
      <c r="H87" s="2" t="s">
        <v>498</v>
      </c>
    </row>
    <row r="88" spans="1:8" ht="75" x14ac:dyDescent="0.3">
      <c r="A88" s="2" t="s">
        <v>499</v>
      </c>
      <c r="B88" s="2" t="s">
        <v>500</v>
      </c>
      <c r="C88" s="2" t="s">
        <v>501</v>
      </c>
      <c r="D88" s="2" t="s">
        <v>502</v>
      </c>
      <c r="E88" s="2" t="s">
        <v>503</v>
      </c>
      <c r="F88" s="2" t="s">
        <v>504</v>
      </c>
      <c r="G88" s="2" t="s">
        <v>4</v>
      </c>
      <c r="H88" s="2" t="s">
        <v>505</v>
      </c>
    </row>
    <row r="89" spans="1:8" ht="75" x14ac:dyDescent="0.3">
      <c r="A89" s="2" t="s">
        <v>506</v>
      </c>
      <c r="B89" s="2" t="s">
        <v>507</v>
      </c>
      <c r="C89" s="2" t="s">
        <v>501</v>
      </c>
      <c r="D89" s="2" t="s">
        <v>502</v>
      </c>
      <c r="E89" s="2" t="s">
        <v>503</v>
      </c>
      <c r="F89" s="2" t="s">
        <v>504</v>
      </c>
      <c r="G89" s="2" t="s">
        <v>4</v>
      </c>
      <c r="H89" s="2" t="s">
        <v>508</v>
      </c>
    </row>
    <row r="90" spans="1:8" ht="90" x14ac:dyDescent="0.3">
      <c r="A90" s="2" t="s">
        <v>509</v>
      </c>
      <c r="B90" s="2" t="s">
        <v>510</v>
      </c>
      <c r="C90" s="2" t="s">
        <v>511</v>
      </c>
      <c r="D90" s="2" t="s">
        <v>512</v>
      </c>
      <c r="E90" s="2" t="s">
        <v>513</v>
      </c>
      <c r="F90" s="2" t="s">
        <v>514</v>
      </c>
      <c r="G90" s="2" t="s">
        <v>2</v>
      </c>
      <c r="H90" s="2" t="s">
        <v>561</v>
      </c>
    </row>
    <row r="91" spans="1:8" ht="45" x14ac:dyDescent="0.3">
      <c r="A91" s="2" t="s">
        <v>515</v>
      </c>
      <c r="B91" s="2" t="s">
        <v>516</v>
      </c>
      <c r="C91" s="2" t="s">
        <v>517</v>
      </c>
      <c r="D91" s="2" t="s">
        <v>518</v>
      </c>
      <c r="E91" s="2" t="s">
        <v>519</v>
      </c>
      <c r="F91" s="2" t="s">
        <v>520</v>
      </c>
      <c r="G91" s="2" t="s">
        <v>3</v>
      </c>
      <c r="H91" s="2" t="s">
        <v>521</v>
      </c>
    </row>
    <row r="92" spans="1:8" ht="135" x14ac:dyDescent="0.3">
      <c r="A92" s="2" t="s">
        <v>522</v>
      </c>
      <c r="B92" s="2" t="s">
        <v>523</v>
      </c>
      <c r="C92" s="2" t="s">
        <v>524</v>
      </c>
      <c r="D92" s="2" t="s">
        <v>525</v>
      </c>
      <c r="E92" s="2" t="s">
        <v>526</v>
      </c>
      <c r="F92" s="2" t="s">
        <v>527</v>
      </c>
      <c r="G92" s="10" t="s">
        <v>533</v>
      </c>
      <c r="H92" s="2" t="s">
        <v>532</v>
      </c>
    </row>
  </sheetData>
  <autoFilter ref="A1:H92"/>
  <phoneticPr fontId="1"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600"/>
  <sheetViews>
    <sheetView tabSelected="1" workbookViewId="0">
      <selection activeCell="I8" sqref="I8"/>
    </sheetView>
  </sheetViews>
  <sheetFormatPr defaultColWidth="9" defaultRowHeight="15" x14ac:dyDescent="0.3"/>
  <cols>
    <col min="1" max="1" width="5.375" style="6" customWidth="1"/>
    <col min="2" max="3" width="47.625" style="6" customWidth="1"/>
    <col min="4" max="7" width="12.75" style="6" customWidth="1"/>
    <col min="8" max="8" width="6.125" style="6" customWidth="1"/>
    <col min="9" max="9" width="80" style="6" customWidth="1"/>
    <col min="10" max="16384" width="9" style="6"/>
  </cols>
  <sheetData>
    <row r="1" spans="1:9" x14ac:dyDescent="0.3">
      <c r="A1" s="5" t="s">
        <v>0</v>
      </c>
      <c r="B1" s="5" t="s">
        <v>1</v>
      </c>
      <c r="C1" s="5" t="s">
        <v>547</v>
      </c>
      <c r="D1" s="5" t="s">
        <v>2</v>
      </c>
      <c r="E1" s="5" t="s">
        <v>3</v>
      </c>
      <c r="F1" s="5" t="s">
        <v>4</v>
      </c>
      <c r="G1" s="5" t="s">
        <v>5</v>
      </c>
      <c r="H1" s="5" t="s">
        <v>6</v>
      </c>
      <c r="I1" s="5" t="s">
        <v>7</v>
      </c>
    </row>
    <row r="2" spans="1:9" x14ac:dyDescent="0.3">
      <c r="A2" s="5"/>
      <c r="B2" s="5"/>
      <c r="C2" s="5" t="s">
        <v>548</v>
      </c>
      <c r="D2" s="5"/>
      <c r="E2" s="5"/>
      <c r="F2" s="5"/>
      <c r="G2" s="5"/>
      <c r="H2" s="5"/>
      <c r="I2" s="5"/>
    </row>
    <row r="3" spans="1:9" x14ac:dyDescent="0.3">
      <c r="A3" s="5"/>
      <c r="B3" s="5"/>
      <c r="C3" s="5" t="s">
        <v>549</v>
      </c>
      <c r="D3" s="5"/>
      <c r="E3" s="5"/>
      <c r="F3" s="5"/>
      <c r="G3" s="5"/>
      <c r="H3" s="5"/>
      <c r="I3" s="5"/>
    </row>
    <row r="4" spans="1:9" ht="4.8" customHeight="1" x14ac:dyDescent="0.3">
      <c r="A4" s="5"/>
      <c r="B4" s="5"/>
      <c r="C4" s="5"/>
      <c r="D4" s="5"/>
      <c r="E4" s="5"/>
      <c r="F4" s="5"/>
      <c r="G4" s="5"/>
      <c r="H4" s="5"/>
      <c r="I4" s="5"/>
    </row>
    <row r="5" spans="1:9" s="3" customFormat="1" ht="45" x14ac:dyDescent="0.3">
      <c r="A5" s="4" t="str">
        <f>dB題庫!A2</f>
        <v>1</v>
      </c>
      <c r="B5" s="4" t="str">
        <f>dB題庫!B2</f>
        <v>遙控無人機如為不法份子作為犯罪工具或因不當操作而致失控墜落者，可能導致何種後果？</v>
      </c>
      <c r="C5" s="4" t="str">
        <f>A5&amp;"."&amp;B5</f>
        <v>1.遙控無人機如為不法份子作為犯罪工具或因不當操作而致失控墜落者，可能導致何種後果？</v>
      </c>
      <c r="D5" s="4" t="str">
        <f>dB題庫!C2</f>
        <v>造成他人生命財產之損失。</v>
      </c>
      <c r="E5" s="4" t="str">
        <f>dB題庫!D2</f>
        <v>危害公共利益。</v>
      </c>
      <c r="F5" s="4" t="str">
        <f>dB題庫!E2</f>
        <v>影響飛航安全。</v>
      </c>
      <c r="G5" s="4" t="str">
        <f>dB題庫!F2</f>
        <v>以上皆是。</v>
      </c>
      <c r="H5" s="4" t="str">
        <f>dB題庫!G2</f>
        <v>D</v>
      </c>
      <c r="I5" s="4" t="str">
        <f>dB題庫!H2</f>
        <v>遙控無人機如不當操作或作不法用途，其高空墜落具有實質物理衝擊力，會嚴重威脅地面人員的生命財產安全與公共利益，同時在空域中也會干擾其他航空器，危及整體飛航安全，故選 (D)。</v>
      </c>
    </row>
    <row r="6" spans="1:9" s="3" customFormat="1" x14ac:dyDescent="0.3">
      <c r="A6" s="2"/>
      <c r="B6" s="1"/>
      <c r="C6" s="7" t="str">
        <f>"(A.)"&amp;D5</f>
        <v>(A.)造成他人生命財產之損失。</v>
      </c>
      <c r="D6" s="2"/>
      <c r="E6" s="2"/>
      <c r="F6" s="2"/>
      <c r="G6" s="2"/>
      <c r="H6" s="2"/>
      <c r="I6" s="2"/>
    </row>
    <row r="7" spans="1:9" s="3" customFormat="1" x14ac:dyDescent="0.3">
      <c r="A7" s="2"/>
      <c r="B7" s="1"/>
      <c r="C7" s="7" t="str">
        <f>"(B.)"&amp;E5</f>
        <v>(B.)危害公共利益。</v>
      </c>
      <c r="D7" s="2"/>
      <c r="E7" s="2"/>
      <c r="F7" s="2"/>
      <c r="G7" s="2"/>
      <c r="H7" s="2"/>
      <c r="I7" s="2"/>
    </row>
    <row r="8" spans="1:9" s="3" customFormat="1" x14ac:dyDescent="0.3">
      <c r="A8" s="2"/>
      <c r="B8" s="2"/>
      <c r="C8" s="7" t="str">
        <f>"(C.)"&amp;F5</f>
        <v>(C.)影響飛航安全。</v>
      </c>
      <c r="D8" s="2"/>
      <c r="E8" s="2"/>
      <c r="F8" s="2"/>
      <c r="G8" s="2"/>
      <c r="H8" s="2"/>
      <c r="I8" s="2"/>
    </row>
    <row r="9" spans="1:9" s="3" customFormat="1" x14ac:dyDescent="0.3">
      <c r="A9" s="2"/>
      <c r="B9" s="2"/>
      <c r="C9" s="7" t="str">
        <f>"(D.)"&amp;G5</f>
        <v>(D.)以上皆是。</v>
      </c>
      <c r="D9" s="2"/>
      <c r="E9" s="2"/>
      <c r="F9" s="2"/>
      <c r="G9" s="2"/>
      <c r="H9" s="2"/>
      <c r="I9" s="2"/>
    </row>
    <row r="10" spans="1:9" s="3" customFormat="1" x14ac:dyDescent="0.3">
      <c r="A10" s="2"/>
      <c r="B10" s="2"/>
      <c r="C10" s="7" t="str">
        <f>"答案是： "&amp;IF(H5="A",C6,IF(H5="B",C7,IF(H5="C",C8,IF(H5=("D"),C9,"XXXX"))))</f>
        <v>答案是： (D.)以上皆是。</v>
      </c>
      <c r="D10" s="2"/>
      <c r="E10" s="2"/>
      <c r="F10" s="2"/>
      <c r="G10" s="2"/>
      <c r="H10" s="2"/>
      <c r="I10" s="2"/>
    </row>
    <row r="11" spans="1:9" s="3" customFormat="1" ht="75" x14ac:dyDescent="0.3">
      <c r="A11" s="2"/>
      <c r="B11" s="2"/>
      <c r="C11" s="7" t="str">
        <f>"說明："&amp;I5</f>
        <v>說明：遙控無人機如不當操作或作不法用途，其高空墜落具有實質物理衝擊力，會嚴重威脅地面人員的生命財產安全與公共利益，同時在空域中也會干擾其他航空器，危及整體飛航安全，故選 (D)。</v>
      </c>
      <c r="D11" s="2"/>
      <c r="E11" s="2"/>
      <c r="F11" s="2"/>
      <c r="G11" s="2"/>
      <c r="H11" s="2"/>
      <c r="I11" s="2"/>
    </row>
    <row r="12" spans="1:9" s="3" customFormat="1" ht="60" x14ac:dyDescent="0.3">
      <c r="A12" s="4" t="str">
        <f>dB題庫!A3</f>
        <v>2</v>
      </c>
      <c r="B12" s="4" t="str">
        <f>dB題庫!B3</f>
        <v>市面上遙控無人機類型繁多，為保障操作安全，操作人於購買時應留意產品何項資訊？</v>
      </c>
      <c r="C12" s="4" t="str">
        <f>A12&amp;"."&amp;B12</f>
        <v>2.市面上遙控無人機類型繁多，為保障操作安全，操作人於購買時應留意產品何項資訊？</v>
      </c>
      <c r="D12" s="4" t="str">
        <f>dB題庫!C3</f>
        <v>使用限制。</v>
      </c>
      <c r="E12" s="4" t="str">
        <f>dB題庫!D3</f>
        <v>操作性能。</v>
      </c>
      <c r="F12" s="4" t="str">
        <f>dB題庫!E3</f>
        <v>保固範圍。</v>
      </c>
      <c r="G12" s="4" t="str">
        <f>dB題庫!F3</f>
        <v>以上皆是。</v>
      </c>
      <c r="H12" s="4" t="str">
        <f>dB題庫!G3</f>
        <v>D</v>
      </c>
      <c r="I12" s="4" t="str">
        <f>dB題庫!H3</f>
        <v>為了確保在合法、安全的前提下操作無人機，購買時必須徹底了解該機型的性能諸元、可承受的環境操作性能，以及法規或原廠給予的使用限制。同時，保固範圍攸關後續維修與檢查的妥善率。因此，(A)、(B)、(C) 皆為應留意的關鍵資訊。</v>
      </c>
    </row>
    <row r="13" spans="1:9" s="3" customFormat="1" x14ac:dyDescent="0.3">
      <c r="A13" s="2"/>
      <c r="B13" s="1"/>
      <c r="C13" s="7" t="str">
        <f>"(A.)"&amp;D12</f>
        <v>(A.)使用限制。</v>
      </c>
      <c r="D13" s="2"/>
      <c r="E13" s="2"/>
      <c r="F13" s="2"/>
      <c r="G13" s="2"/>
      <c r="H13" s="2"/>
      <c r="I13" s="2"/>
    </row>
    <row r="14" spans="1:9" s="3" customFormat="1" x14ac:dyDescent="0.3">
      <c r="A14" s="2"/>
      <c r="B14" s="1"/>
      <c r="C14" s="7" t="str">
        <f>"(B.)"&amp;E12</f>
        <v>(B.)操作性能。</v>
      </c>
      <c r="D14" s="2"/>
      <c r="E14" s="2"/>
      <c r="F14" s="2"/>
      <c r="G14" s="2"/>
      <c r="H14" s="2"/>
      <c r="I14" s="2"/>
    </row>
    <row r="15" spans="1:9" s="3" customFormat="1" x14ac:dyDescent="0.3">
      <c r="A15" s="2"/>
      <c r="B15" s="2"/>
      <c r="C15" s="7" t="str">
        <f>"(C.)"&amp;F12</f>
        <v>(C.)保固範圍。</v>
      </c>
      <c r="D15" s="2"/>
      <c r="E15" s="2"/>
      <c r="F15" s="2"/>
      <c r="G15" s="2"/>
      <c r="H15" s="2"/>
      <c r="I15" s="2"/>
    </row>
    <row r="16" spans="1:9" s="3" customFormat="1" x14ac:dyDescent="0.3">
      <c r="A16" s="2"/>
      <c r="B16" s="2"/>
      <c r="C16" s="7" t="str">
        <f>"(D.)"&amp;G12</f>
        <v>(D.)以上皆是。</v>
      </c>
      <c r="D16" s="2"/>
      <c r="E16" s="2"/>
      <c r="F16" s="2"/>
      <c r="G16" s="2"/>
      <c r="H16" s="2"/>
      <c r="I16" s="2"/>
    </row>
    <row r="17" spans="1:9" s="3" customFormat="1" x14ac:dyDescent="0.3">
      <c r="A17" s="2"/>
      <c r="B17" s="2"/>
      <c r="C17" s="7" t="str">
        <f>"答案是： "&amp;IF(H12="A",C13,IF(H12="B",C14,IF(H12="C",C15,IF(H12=("D"),C16,"XXXX"))))</f>
        <v>答案是： (D.)以上皆是。</v>
      </c>
      <c r="D17" s="2"/>
      <c r="E17" s="2"/>
      <c r="F17" s="2"/>
      <c r="G17" s="2"/>
      <c r="H17" s="2"/>
      <c r="I17" s="2"/>
    </row>
    <row r="18" spans="1:9" s="3" customFormat="1" ht="90" x14ac:dyDescent="0.3">
      <c r="A18" s="2"/>
      <c r="B18" s="2"/>
      <c r="C18" s="7" t="str">
        <f>"說明："&amp;I12</f>
        <v>說明：為了確保在合法、安全的前提下操作無人機，購買時必須徹底了解該機型的性能諸元、可承受的環境操作性能，以及法規或原廠給予的使用限制。同時，保固範圍攸關後續維修與檢查的妥善率。因此，(A)、(B)、(C) 皆為應留意的關鍵資訊。</v>
      </c>
      <c r="D18" s="2"/>
      <c r="E18" s="2"/>
      <c r="F18" s="2"/>
      <c r="G18" s="2"/>
      <c r="H18" s="2"/>
      <c r="I18" s="2"/>
    </row>
    <row r="19" spans="1:9" s="3" customFormat="1" ht="45" x14ac:dyDescent="0.3">
      <c r="A19" s="4" t="str">
        <f>dB題庫!A4</f>
        <v>3</v>
      </c>
      <c r="B19" s="4" t="str">
        <f>dB題庫!B4</f>
        <v>遙控無人機之註冊、針對操作人員進行教育宣導及操作範圍警示之規定，係為達到哪個目的？</v>
      </c>
      <c r="C19" s="4" t="str">
        <f t="shared" ref="C19:C33" si="0">A19&amp;"."&amp;B19</f>
        <v>3.遙控無人機之註冊、針對操作人員進行教育宣導及操作範圍警示之規定，係為達到哪個目的？</v>
      </c>
      <c r="D19" s="4" t="str">
        <f>dB題庫!C4</f>
        <v>刁難操作人員。</v>
      </c>
      <c r="E19" s="4" t="str">
        <f>dB題庫!D4</f>
        <v>打擊遙控無人機市場。</v>
      </c>
      <c r="F19" s="4" t="str">
        <f>dB題庫!E4</f>
        <v>安全使用。</v>
      </c>
      <c r="G19" s="4" t="str">
        <f>dB題庫!F4</f>
        <v>以上皆是。</v>
      </c>
      <c r="H19" s="4" t="str">
        <f>dB題庫!G4</f>
        <v>C</v>
      </c>
      <c r="I19" s="4" t="str">
        <f>dB題庫!H4</f>
        <v>建立註冊制度是為了落實所有人責任制，教育宣導能提升操作人的法規與空情知識，操作範圍警示則能防止誤入禁限航區。上述管理規範之終極核心目的，皆是為了促進空域及地面的「安全使用」，而非刁難或打擊市場。</v>
      </c>
    </row>
    <row r="20" spans="1:9" s="3" customFormat="1" x14ac:dyDescent="0.3">
      <c r="A20" s="2"/>
      <c r="B20" s="1"/>
      <c r="C20" s="7" t="str">
        <f>"(A.)"&amp;D19</f>
        <v>(A.)刁難操作人員。</v>
      </c>
      <c r="D20" s="2"/>
      <c r="E20" s="2"/>
      <c r="F20" s="2"/>
      <c r="G20" s="2"/>
      <c r="H20" s="2"/>
      <c r="I20" s="2"/>
    </row>
    <row r="21" spans="1:9" s="3" customFormat="1" x14ac:dyDescent="0.3">
      <c r="A21" s="2"/>
      <c r="B21" s="1"/>
      <c r="C21" s="7" t="str">
        <f>"(B.)"&amp;E19</f>
        <v>(B.)打擊遙控無人機市場。</v>
      </c>
      <c r="D21" s="2"/>
      <c r="E21" s="2"/>
      <c r="F21" s="2"/>
      <c r="G21" s="2"/>
      <c r="H21" s="2"/>
      <c r="I21" s="2"/>
    </row>
    <row r="22" spans="1:9" s="3" customFormat="1" x14ac:dyDescent="0.3">
      <c r="A22" s="2"/>
      <c r="B22" s="2"/>
      <c r="C22" s="7" t="str">
        <f>"(C.)"&amp;F19</f>
        <v>(C.)安全使用。</v>
      </c>
      <c r="D22" s="2"/>
      <c r="E22" s="2"/>
      <c r="F22" s="2"/>
      <c r="G22" s="2"/>
      <c r="H22" s="2"/>
      <c r="I22" s="2"/>
    </row>
    <row r="23" spans="1:9" s="3" customFormat="1" x14ac:dyDescent="0.3">
      <c r="A23" s="2"/>
      <c r="B23" s="2"/>
      <c r="C23" s="7" t="str">
        <f>"(D.)"&amp;G19</f>
        <v>(D.)以上皆是。</v>
      </c>
      <c r="D23" s="2"/>
      <c r="E23" s="2"/>
      <c r="F23" s="2"/>
      <c r="G23" s="2"/>
      <c r="H23" s="2"/>
      <c r="I23" s="2"/>
    </row>
    <row r="24" spans="1:9" s="3" customFormat="1" x14ac:dyDescent="0.3">
      <c r="A24" s="2"/>
      <c r="B24" s="2"/>
      <c r="C24" s="7" t="str">
        <f>"答案是： "&amp;IF(H19="A",C20,IF(H19="B",C21,IF(H19="C",C22,IF(H19=("D"),C23,"XXXX"))))</f>
        <v>答案是： (C.)安全使用。</v>
      </c>
      <c r="D24" s="2"/>
      <c r="E24" s="2"/>
      <c r="F24" s="2"/>
      <c r="G24" s="2"/>
      <c r="H24" s="2"/>
      <c r="I24" s="2"/>
    </row>
    <row r="25" spans="1:9" s="3" customFormat="1" ht="75" x14ac:dyDescent="0.3">
      <c r="A25" s="2"/>
      <c r="B25" s="2"/>
      <c r="C25" s="7" t="str">
        <f>"說明："&amp;I19</f>
        <v>說明：建立註冊制度是為了落實所有人責任制，教育宣導能提升操作人的法規與空情知識，操作範圍警示則能防止誤入禁限航區。上述管理規範之終極核心目的，皆是為了促進空域及地面的「安全使用」，而非刁難或打擊市場。</v>
      </c>
      <c r="D25" s="2"/>
      <c r="E25" s="2"/>
      <c r="F25" s="2"/>
      <c r="G25" s="2"/>
      <c r="H25" s="2"/>
      <c r="I25" s="2"/>
    </row>
    <row r="26" spans="1:9" s="3" customFormat="1" ht="45" x14ac:dyDescent="0.3">
      <c r="A26" s="4" t="str">
        <f>dB題庫!A5</f>
        <v>4</v>
      </c>
      <c r="B26" s="4" t="str">
        <f>dB題庫!B5</f>
        <v>操作證考取目的係為確保操作人於哪個階段能熟悉相關航空知識與管理規範，並具備一定操作熟練度及緊急處置能力？</v>
      </c>
      <c r="C26" s="4" t="str">
        <f t="shared" si="0"/>
        <v>4.操作證考取目的係為確保操作人於哪個階段能熟悉相關航空知識與管理規範，並具備一定操作熟練度及緊急處置能力？</v>
      </c>
      <c r="D26" s="4" t="str">
        <f>dB題庫!C5</f>
        <v>操作前及操作時。</v>
      </c>
      <c r="E26" s="4" t="str">
        <f>dB題庫!D5</f>
        <v>操作前及操作後。</v>
      </c>
      <c r="F26" s="4" t="str">
        <f>dB題庫!E5</f>
        <v>操作前。</v>
      </c>
      <c r="G26" s="4" t="str">
        <f>dB題庫!F5</f>
        <v>操作後。</v>
      </c>
      <c r="H26" s="4" t="str">
        <f>dB題庫!G5</f>
        <v>A</v>
      </c>
      <c r="I26" s="4" t="str">
        <f>dB題庫!H5</f>
        <v>國家設置操作證測驗之制度，目的在於要求操作人在「操作前」即做好完整的飛行計畫與設備檢查（熟悉知識與規範），並在「操作時」面臨突發狀況時，能具備熟練的控制與緊急處置能力，以保障飛安。</v>
      </c>
    </row>
    <row r="27" spans="1:9" s="3" customFormat="1" x14ac:dyDescent="0.3">
      <c r="A27" s="2"/>
      <c r="B27" s="1"/>
      <c r="C27" s="7" t="str">
        <f>"(A.)"&amp;D26</f>
        <v>(A.)操作前及操作時。</v>
      </c>
      <c r="D27" s="2"/>
      <c r="E27" s="2"/>
      <c r="F27" s="2"/>
      <c r="G27" s="2"/>
      <c r="H27" s="2"/>
      <c r="I27" s="2"/>
    </row>
    <row r="28" spans="1:9" s="3" customFormat="1" x14ac:dyDescent="0.3">
      <c r="A28" s="2"/>
      <c r="B28" s="1"/>
      <c r="C28" s="7" t="str">
        <f>"(B.)"&amp;E26</f>
        <v>(B.)操作前及操作後。</v>
      </c>
      <c r="D28" s="2"/>
      <c r="E28" s="2"/>
      <c r="F28" s="2"/>
      <c r="G28" s="2"/>
      <c r="H28" s="2"/>
      <c r="I28" s="2"/>
    </row>
    <row r="29" spans="1:9" s="3" customFormat="1" x14ac:dyDescent="0.3">
      <c r="A29" s="2"/>
      <c r="B29" s="2"/>
      <c r="C29" s="7" t="str">
        <f>"(C.)"&amp;F26</f>
        <v>(C.)操作前。</v>
      </c>
      <c r="D29" s="2"/>
      <c r="E29" s="2"/>
      <c r="F29" s="2"/>
      <c r="G29" s="2"/>
      <c r="H29" s="2"/>
      <c r="I29" s="2"/>
    </row>
    <row r="30" spans="1:9" s="3" customFormat="1" x14ac:dyDescent="0.3">
      <c r="A30" s="2"/>
      <c r="B30" s="2"/>
      <c r="C30" s="7" t="str">
        <f>"(D.)"&amp;G26</f>
        <v>(D.)操作後。</v>
      </c>
      <c r="D30" s="2"/>
      <c r="E30" s="2"/>
      <c r="F30" s="2"/>
      <c r="G30" s="2"/>
      <c r="H30" s="2"/>
      <c r="I30" s="2"/>
    </row>
    <row r="31" spans="1:9" s="3" customFormat="1" x14ac:dyDescent="0.3">
      <c r="A31" s="2"/>
      <c r="B31" s="2"/>
      <c r="C31" s="7" t="str">
        <f>"答案是： "&amp;IF(H26="A",C27,IF(H26="B",C28,IF(H26="C",C29,IF(H26=("D"),C30,"XXXX"))))</f>
        <v>答案是： (A.)操作前及操作時。</v>
      </c>
      <c r="D31" s="2"/>
      <c r="E31" s="2"/>
      <c r="F31" s="2"/>
      <c r="G31" s="2"/>
      <c r="H31" s="2"/>
      <c r="I31" s="2"/>
    </row>
    <row r="32" spans="1:9" s="3" customFormat="1" ht="75" x14ac:dyDescent="0.3">
      <c r="A32" s="2"/>
      <c r="B32" s="2"/>
      <c r="C32" s="7" t="str">
        <f>"說明："&amp;I26</f>
        <v>說明：國家設置操作證測驗之制度，目的在於要求操作人在「操作前」即做好完整的飛行計畫與設備檢查（熟悉知識與規範），並在「操作時」面臨突發狀況時，能具備熟練的控制與緊急處置能力，以保障飛安。</v>
      </c>
      <c r="D32" s="2"/>
      <c r="E32" s="2"/>
      <c r="F32" s="2"/>
      <c r="G32" s="2"/>
      <c r="H32" s="2"/>
      <c r="I32" s="2"/>
    </row>
    <row r="33" spans="1:9" s="3" customFormat="1" ht="60" x14ac:dyDescent="0.3">
      <c r="A33" s="4" t="str">
        <f>dB題庫!A6</f>
        <v>5</v>
      </c>
      <c r="B33" s="4" t="str">
        <f>dB題庫!B6</f>
        <v>外國人領有外國政府對於所持有遙控無人機之註冊、操作證及檢驗合格等證明文件者，必須向哪個單位申請認可後，於遵守我國相關法令下從事遙控無人機活動？</v>
      </c>
      <c r="C33" s="4" t="str">
        <f t="shared" si="0"/>
        <v>5.外國人領有外國政府對於所持有遙控無人機之註冊、操作證及檢驗合格等證明文件者，必須向哪個單位申請認可後，於遵守我國相關法令下從事遙控無人機活動？</v>
      </c>
      <c r="D33" s="4" t="str">
        <f>dB題庫!C6</f>
        <v>外交部。</v>
      </c>
      <c r="E33" s="4" t="str">
        <f>dB題庫!D6</f>
        <v>駐外單位。</v>
      </c>
      <c r="F33" s="4" t="str">
        <f>dB題庫!E6</f>
        <v>民航局。</v>
      </c>
      <c r="G33" s="4" t="str">
        <f>dB題庫!F6</f>
        <v>科技部。</v>
      </c>
      <c r="H33" s="4" t="str">
        <f>dB題庫!G6</f>
        <v>C</v>
      </c>
      <c r="I33" s="4" t="str">
        <f>dB題庫!H6</f>
        <v>遙控無人機之業務主管機關為交通部民用航空局（民航局）。外國人持有之外國註冊或操作證明，依民用航空法規定，皆須向「民航局」申請認可後，始得在我國境內合法飛行。</v>
      </c>
    </row>
    <row r="34" spans="1:9" s="3" customFormat="1" x14ac:dyDescent="0.3">
      <c r="A34" s="2" t="s">
        <v>541</v>
      </c>
      <c r="B34" s="1"/>
      <c r="C34" s="7" t="str">
        <f>"(A.)"&amp;D33</f>
        <v>(A.)外交部。</v>
      </c>
      <c r="D34" s="2"/>
      <c r="E34" s="2"/>
      <c r="F34" s="2"/>
      <c r="G34" s="2"/>
      <c r="H34" s="2"/>
      <c r="I34" s="2"/>
    </row>
    <row r="35" spans="1:9" s="3" customFormat="1" x14ac:dyDescent="0.3">
      <c r="A35" s="2"/>
      <c r="B35" s="1"/>
      <c r="C35" s="7" t="str">
        <f>"(B.)"&amp;E33</f>
        <v>(B.)駐外單位。</v>
      </c>
      <c r="D35" s="2"/>
      <c r="E35" s="2"/>
      <c r="F35" s="2"/>
      <c r="G35" s="2"/>
      <c r="H35" s="2"/>
      <c r="I35" s="2"/>
    </row>
    <row r="36" spans="1:9" s="3" customFormat="1" x14ac:dyDescent="0.3">
      <c r="A36" s="2"/>
      <c r="B36" s="2"/>
      <c r="C36" s="7" t="str">
        <f>"(C.)"&amp;F33</f>
        <v>(C.)民航局。</v>
      </c>
      <c r="D36" s="2"/>
      <c r="E36" s="2"/>
      <c r="F36" s="2"/>
      <c r="G36" s="2"/>
      <c r="H36" s="2"/>
      <c r="I36" s="2"/>
    </row>
    <row r="37" spans="1:9" s="3" customFormat="1" x14ac:dyDescent="0.3">
      <c r="A37" s="2"/>
      <c r="B37" s="2"/>
      <c r="C37" s="7" t="str">
        <f>"(D.)"&amp;G33</f>
        <v>(D.)科技部。</v>
      </c>
      <c r="D37" s="2"/>
      <c r="E37" s="2"/>
      <c r="F37" s="2"/>
      <c r="G37" s="2"/>
      <c r="H37" s="2"/>
      <c r="I37" s="2"/>
    </row>
    <row r="38" spans="1:9" s="3" customFormat="1" x14ac:dyDescent="0.3">
      <c r="A38" s="2"/>
      <c r="B38" s="2"/>
      <c r="C38" s="7" t="str">
        <f>"答案是： "&amp;IF(H33="A",C34,IF(H33="B",C35,IF(H33="C",C36,IF(H33=("D"),C37,"XXXX"))))</f>
        <v>答案是： (C.)民航局。</v>
      </c>
      <c r="D38" s="2"/>
      <c r="E38" s="2"/>
      <c r="F38" s="2"/>
      <c r="G38" s="2"/>
      <c r="H38" s="2"/>
      <c r="I38" s="2"/>
    </row>
    <row r="39" spans="1:9" s="3" customFormat="1" ht="75" x14ac:dyDescent="0.3">
      <c r="A39" s="2"/>
      <c r="B39" s="2"/>
      <c r="C39" s="7" t="str">
        <f>"說明："&amp;I33</f>
        <v>說明：遙控無人機之業務主管機關為交通部民用航空局（民航局）。外國人持有之外國註冊或操作證明，依民用航空法規定，皆須向「民航局」申請認可後，始得在我國境內合法飛行。</v>
      </c>
      <c r="D39" s="2"/>
      <c r="E39" s="2"/>
      <c r="F39" s="2"/>
      <c r="G39" s="2"/>
      <c r="H39" s="2"/>
      <c r="I39" s="2"/>
    </row>
    <row r="40" spans="1:9" s="3" customFormat="1" ht="60" x14ac:dyDescent="0.3">
      <c r="A40" s="4" t="str">
        <f>dB題庫!A7</f>
        <v>6</v>
      </c>
      <c r="B40" s="4" t="str">
        <f>dB題庫!B7</f>
        <v>操作人僅透過遙控無人機即時傳輸圖像功能（圖傳），是否即足以監控鏡頭外之周遭狀況？</v>
      </c>
      <c r="C40" s="4" t="str">
        <f t="shared" ref="C40:C439" si="1">A40&amp;"."&amp;B40</f>
        <v>6.操作人僅透過遙控無人機即時傳輸圖像功能（圖傳），是否即足以監控鏡頭外之周遭狀況？</v>
      </c>
      <c r="D40" s="4" t="str">
        <f>dB題庫!C7</f>
        <v>否。</v>
      </c>
      <c r="E40" s="4" t="str">
        <f>dB題庫!D7</f>
        <v>是。</v>
      </c>
      <c r="F40" s="4" t="str">
        <f>dB題庫!E7</f>
        <v>視傳輸圖像清晰度而定。</v>
      </c>
      <c r="G40" s="4" t="str">
        <f>dB題庫!F7</f>
        <v>視天氣狀況而定。</v>
      </c>
      <c r="H40" s="4" t="str">
        <f>dB題庫!G7</f>
        <v>A</v>
      </c>
      <c r="I40" s="4" t="str">
        <f>dB題庫!H7</f>
        <v>無人機相機鏡頭的視角（F O V）相當有限，形同「管窺」。操作人如果只盯著圖傳畫面，是完全無法察覺鏡頭死角外（如兩側或後方）突如其來的鳥類、其他有人/無人航空器或障礙物，因此答案為「否」，操作仍應盡量保持目視監視。</v>
      </c>
    </row>
    <row r="41" spans="1:9" s="3" customFormat="1" x14ac:dyDescent="0.3">
      <c r="A41" s="2" t="s">
        <v>541</v>
      </c>
      <c r="B41" s="1"/>
      <c r="C41" s="7" t="str">
        <f>"(A.)"&amp;D40</f>
        <v>(A.)否。</v>
      </c>
      <c r="D41" s="2"/>
      <c r="E41" s="2"/>
      <c r="F41" s="2"/>
      <c r="G41" s="2"/>
      <c r="H41" s="2"/>
      <c r="I41" s="2"/>
    </row>
    <row r="42" spans="1:9" s="3" customFormat="1" x14ac:dyDescent="0.3">
      <c r="A42" s="2"/>
      <c r="B42" s="1"/>
      <c r="C42" s="7" t="str">
        <f>"(B.)"&amp;E40</f>
        <v>(B.)是。</v>
      </c>
      <c r="D42" s="2"/>
      <c r="E42" s="2"/>
      <c r="F42" s="2"/>
      <c r="G42" s="2"/>
      <c r="H42" s="2"/>
      <c r="I42" s="2"/>
    </row>
    <row r="43" spans="1:9" s="3" customFormat="1" x14ac:dyDescent="0.3">
      <c r="A43" s="2"/>
      <c r="B43" s="2"/>
      <c r="C43" s="7" t="str">
        <f>"(C.)"&amp;F40</f>
        <v>(C.)視傳輸圖像清晰度而定。</v>
      </c>
      <c r="D43" s="2"/>
      <c r="E43" s="2"/>
      <c r="F43" s="2"/>
      <c r="G43" s="2"/>
      <c r="H43" s="2"/>
      <c r="I43" s="2"/>
    </row>
    <row r="44" spans="1:9" s="3" customFormat="1" x14ac:dyDescent="0.3">
      <c r="A44" s="2"/>
      <c r="B44" s="2"/>
      <c r="C44" s="7" t="str">
        <f>"(D.)"&amp;G40</f>
        <v>(D.)視天氣狀況而定。</v>
      </c>
      <c r="D44" s="2"/>
      <c r="E44" s="2"/>
      <c r="F44" s="2"/>
      <c r="G44" s="2"/>
      <c r="H44" s="2"/>
      <c r="I44" s="2"/>
    </row>
    <row r="45" spans="1:9" s="3" customFormat="1" x14ac:dyDescent="0.3">
      <c r="A45" s="2"/>
      <c r="B45" s="2"/>
      <c r="C45" s="7" t="str">
        <f>"答案是： "&amp;IF(H40="A",C41,IF(H40="B",C42,IF(H40="C",C43,IF(H40=("D"),C44,"XXXX"))))</f>
        <v>答案是： (A.)否。</v>
      </c>
      <c r="D45" s="2"/>
      <c r="E45" s="2"/>
      <c r="F45" s="2"/>
      <c r="G45" s="2"/>
      <c r="H45" s="2"/>
      <c r="I45" s="2"/>
    </row>
    <row r="46" spans="1:9" s="3" customFormat="1" ht="90" x14ac:dyDescent="0.3">
      <c r="A46" s="2"/>
      <c r="B46" s="2"/>
      <c r="C46" s="7" t="str">
        <f>"說明："&amp;I40</f>
        <v>說明：無人機相機鏡頭的視角（F O V）相當有限，形同「管窺」。操作人如果只盯著圖傳畫面，是完全無法察覺鏡頭死角外（如兩側或後方）突如其來的鳥類、其他有人/無人航空器或障礙物，因此答案為「否」，操作仍應盡量保持目視監視。</v>
      </c>
      <c r="D46" s="2"/>
      <c r="E46" s="2"/>
      <c r="F46" s="2"/>
      <c r="G46" s="2"/>
      <c r="H46" s="2"/>
      <c r="I46" s="2"/>
    </row>
    <row r="47" spans="1:9" s="3" customFormat="1" ht="30" x14ac:dyDescent="0.3">
      <c r="A47" s="4" t="str">
        <f>dB題庫!A8</f>
        <v>7</v>
      </c>
      <c r="B47" s="4" t="str">
        <f>dB題庫!B8</f>
        <v>操作人不得利用遙控無人機從事哪種行為？</v>
      </c>
      <c r="C47" s="4" t="str">
        <f t="shared" si="1"/>
        <v>7.操作人不得利用遙控無人機從事哪種行為？</v>
      </c>
      <c r="D47" s="4" t="str">
        <f>dB題庫!C8</f>
        <v>合法行為。</v>
      </c>
      <c r="E47" s="4" t="str">
        <f>dB題庫!D8</f>
        <v>非法行為。</v>
      </c>
      <c r="F47" s="4" t="str">
        <f>dB題庫!E8</f>
        <v>適法行為。</v>
      </c>
      <c r="G47" s="4" t="str">
        <f>dB題庫!F8</f>
        <v>法定行為。</v>
      </c>
      <c r="H47" s="4" t="str">
        <f>dB題庫!G8</f>
        <v>B</v>
      </c>
      <c r="I47" s="4" t="str">
        <f>dB題庫!H8</f>
        <v>身為法治國家之公民，無論操作何種工具，皆絕對「不得利用遙控無人機從事非法行為」，例如刺探機密、運送違禁品或故意侵害他人權益等。</v>
      </c>
    </row>
    <row r="48" spans="1:9" s="3" customFormat="1" x14ac:dyDescent="0.3">
      <c r="A48" s="2" t="s">
        <v>541</v>
      </c>
      <c r="B48" s="1"/>
      <c r="C48" s="7" t="str">
        <f>"(A.)"&amp;D47</f>
        <v>(A.)合法行為。</v>
      </c>
      <c r="D48" s="2"/>
      <c r="E48" s="2"/>
      <c r="F48" s="2"/>
      <c r="G48" s="2"/>
      <c r="H48" s="2"/>
      <c r="I48" s="2"/>
    </row>
    <row r="49" spans="1:9" s="3" customFormat="1" x14ac:dyDescent="0.3">
      <c r="A49" s="2"/>
      <c r="B49" s="1"/>
      <c r="C49" s="7" t="str">
        <f>"(B.)"&amp;E47</f>
        <v>(B.)非法行為。</v>
      </c>
      <c r="D49" s="2"/>
      <c r="E49" s="2"/>
      <c r="F49" s="2"/>
      <c r="G49" s="2"/>
      <c r="H49" s="2"/>
      <c r="I49" s="2"/>
    </row>
    <row r="50" spans="1:9" s="3" customFormat="1" x14ac:dyDescent="0.3">
      <c r="A50" s="2"/>
      <c r="B50" s="2"/>
      <c r="C50" s="7" t="str">
        <f>"(C.)"&amp;F47</f>
        <v>(C.)適法行為。</v>
      </c>
      <c r="D50" s="2"/>
      <c r="E50" s="2"/>
      <c r="F50" s="2"/>
      <c r="G50" s="2"/>
      <c r="H50" s="2"/>
      <c r="I50" s="2"/>
    </row>
    <row r="51" spans="1:9" s="3" customFormat="1" x14ac:dyDescent="0.3">
      <c r="A51" s="2"/>
      <c r="B51" s="2"/>
      <c r="C51" s="7" t="str">
        <f>"(D.)"&amp;G47</f>
        <v>(D.)法定行為。</v>
      </c>
      <c r="D51" s="2"/>
      <c r="E51" s="2"/>
      <c r="F51" s="2"/>
      <c r="G51" s="2"/>
      <c r="H51" s="2"/>
      <c r="I51" s="2"/>
    </row>
    <row r="52" spans="1:9" s="3" customFormat="1" x14ac:dyDescent="0.3">
      <c r="A52" s="2"/>
      <c r="B52" s="2"/>
      <c r="C52" s="7" t="str">
        <f>"答案是： "&amp;IF(H47="A",C48,IF(H47="B",C49,IF(H47="C",C50,IF(H47=("D"),C51,"XXXX"))))</f>
        <v>答案是： (B.)非法行為。</v>
      </c>
      <c r="D52" s="2"/>
      <c r="E52" s="2"/>
      <c r="F52" s="2"/>
      <c r="G52" s="2"/>
      <c r="H52" s="2"/>
      <c r="I52" s="2"/>
    </row>
    <row r="53" spans="1:9" s="3" customFormat="1" ht="60" x14ac:dyDescent="0.3">
      <c r="A53" s="2"/>
      <c r="B53" s="2"/>
      <c r="C53" s="7" t="str">
        <f>"說明："&amp;I47</f>
        <v>說明：身為法治國家之公民，無論操作何種工具，皆絕對「不得利用遙控無人機從事非法行為」，例如刺探機密、運送違禁品或故意侵害他人權益等。</v>
      </c>
      <c r="D53" s="2"/>
      <c r="E53" s="2"/>
      <c r="F53" s="2"/>
      <c r="G53" s="2"/>
      <c r="H53" s="2"/>
      <c r="I53" s="2"/>
    </row>
    <row r="54" spans="1:9" s="3" customFormat="1" ht="45" x14ac:dyDescent="0.3">
      <c r="A54" s="4" t="str">
        <f>dB題庫!A9</f>
        <v>8</v>
      </c>
      <c r="B54" s="4" t="str">
        <f>dB題庫!B9</f>
        <v>操作人不得無故利用遙控無人機對他人進行何種行為？</v>
      </c>
      <c r="C54" s="4" t="str">
        <f t="shared" si="1"/>
        <v>8.操作人不得無故利用遙控無人機對他人進行何種行為？</v>
      </c>
      <c r="D54" s="4" t="str">
        <f>dB題庫!C9</f>
        <v>攝錄非公開活動。</v>
      </c>
      <c r="E54" s="4" t="str">
        <f>dB題庫!D9</f>
        <v>竊聽私下談話。</v>
      </c>
      <c r="F54" s="4" t="str">
        <f>dB題庫!E9</f>
        <v>窺視身體隱私部位。</v>
      </c>
      <c r="G54" s="4" t="str">
        <f>dB題庫!F9</f>
        <v>以上皆是。</v>
      </c>
      <c r="H54" s="4" t="str">
        <f>dB題庫!G9</f>
        <v>D</v>
      </c>
      <c r="I54" s="4" t="str">
        <f>dB題庫!H9</f>
        <v>無人機搭載高解析度鏡頭與收音設備，若無故用以攝錄他人非公開活動、竊聽談話或窺視隱私，將直接觸犯刑法妨害秘密罪。上述行為皆在嚴格禁止之列，故選 (D)。</v>
      </c>
    </row>
    <row r="55" spans="1:9" s="3" customFormat="1" x14ac:dyDescent="0.3">
      <c r="A55" s="2" t="s">
        <v>541</v>
      </c>
      <c r="B55" s="1"/>
      <c r="C55" s="7" t="str">
        <f>"(A.)"&amp;D54</f>
        <v>(A.)攝錄非公開活動。</v>
      </c>
      <c r="D55" s="2"/>
      <c r="E55" s="2"/>
      <c r="F55" s="2"/>
      <c r="G55" s="2"/>
      <c r="H55" s="2"/>
      <c r="I55" s="2"/>
    </row>
    <row r="56" spans="1:9" s="3" customFormat="1" x14ac:dyDescent="0.3">
      <c r="A56" s="2"/>
      <c r="B56" s="1"/>
      <c r="C56" s="7" t="str">
        <f>"(B.)"&amp;E54</f>
        <v>(B.)竊聽私下談話。</v>
      </c>
      <c r="D56" s="2"/>
      <c r="E56" s="2"/>
      <c r="F56" s="2"/>
      <c r="G56" s="2"/>
      <c r="H56" s="2"/>
      <c r="I56" s="2"/>
    </row>
    <row r="57" spans="1:9" s="3" customFormat="1" x14ac:dyDescent="0.3">
      <c r="A57" s="2"/>
      <c r="B57" s="2"/>
      <c r="C57" s="7" t="str">
        <f>"(C.)"&amp;F54</f>
        <v>(C.)窺視身體隱私部位。</v>
      </c>
      <c r="D57" s="2"/>
      <c r="E57" s="2"/>
      <c r="F57" s="2"/>
      <c r="G57" s="2"/>
      <c r="H57" s="2"/>
      <c r="I57" s="2"/>
    </row>
    <row r="58" spans="1:9" s="3" customFormat="1" x14ac:dyDescent="0.3">
      <c r="A58" s="2"/>
      <c r="B58" s="2"/>
      <c r="C58" s="7" t="str">
        <f>"(D.)"&amp;G54</f>
        <v>(D.)以上皆是。</v>
      </c>
      <c r="D58" s="2"/>
      <c r="E58" s="2"/>
      <c r="F58" s="2"/>
      <c r="G58" s="2"/>
      <c r="H58" s="2"/>
      <c r="I58" s="2"/>
    </row>
    <row r="59" spans="1:9" s="3" customFormat="1" x14ac:dyDescent="0.3">
      <c r="A59" s="2"/>
      <c r="B59" s="2"/>
      <c r="C59" s="7" t="str">
        <f>"答案是： "&amp;IF(H54="A",C55,IF(H54="B",C56,IF(H54="C",C57,IF(H54=("D"),C58,"XXXX"))))</f>
        <v>答案是： (D.)以上皆是。</v>
      </c>
      <c r="D59" s="2"/>
      <c r="E59" s="2"/>
      <c r="F59" s="2"/>
      <c r="G59" s="2"/>
      <c r="H59" s="2"/>
      <c r="I59" s="2"/>
    </row>
    <row r="60" spans="1:9" s="3" customFormat="1" ht="60" x14ac:dyDescent="0.3">
      <c r="A60" s="2"/>
      <c r="B60" s="2"/>
      <c r="C60" s="7" t="str">
        <f>"說明："&amp;I54</f>
        <v>說明：無人機搭載高解析度鏡頭與收音設備，若無故用以攝錄他人非公開活動、竊聽談話或窺視隱私，將直接觸犯刑法妨害秘密罪。上述行為皆在嚴格禁止之列，故選 (D)。</v>
      </c>
      <c r="D60" s="2"/>
      <c r="E60" s="2"/>
      <c r="F60" s="2"/>
      <c r="G60" s="2"/>
      <c r="H60" s="2"/>
      <c r="I60" s="2"/>
    </row>
    <row r="61" spans="1:9" s="3" customFormat="1" ht="45" x14ac:dyDescent="0.3">
      <c r="A61" s="4" t="str">
        <f>dB題庫!A10</f>
        <v>9</v>
      </c>
      <c r="B61" s="4" t="str">
        <f>dB題庫!B10</f>
        <v>操作人未經同意，不得以遙控無人機對他人進行何種行為？</v>
      </c>
      <c r="C61" s="4" t="str">
        <f t="shared" si="1"/>
        <v>9.操作人未經同意，不得以遙控無人機對他人進行何種行為？</v>
      </c>
      <c r="D61" s="4" t="str">
        <f>dB題庫!C10</f>
        <v>錄音。</v>
      </c>
      <c r="E61" s="4" t="str">
        <f>dB題庫!D10</f>
        <v>照相、錄影。</v>
      </c>
      <c r="F61" s="4" t="str">
        <f>dB題庫!E10</f>
        <v>電磁紀錄竊錄。</v>
      </c>
      <c r="G61" s="4" t="str">
        <f>dB題庫!F10</f>
        <v>以上皆是。</v>
      </c>
      <c r="H61" s="4" t="str">
        <f>dB題庫!G10</f>
        <v>D</v>
      </c>
      <c r="I61" s="4" t="str">
        <f>dB題庫!H10</f>
        <v>隱私權與個人資料受法律保護。在未獲得當事人明示同意前，操作人不得擅自利用無人機對其進行錄音、照相、錄影或任何電磁紀錄之竊錄，避免侵害個人隱私。</v>
      </c>
    </row>
    <row r="62" spans="1:9" s="3" customFormat="1" x14ac:dyDescent="0.3">
      <c r="A62" s="2" t="s">
        <v>541</v>
      </c>
      <c r="B62" s="1"/>
      <c r="C62" s="7" t="str">
        <f>"(A.)"&amp;D61</f>
        <v>(A.)錄音。</v>
      </c>
      <c r="D62" s="2"/>
      <c r="E62" s="2"/>
      <c r="F62" s="2"/>
      <c r="G62" s="2"/>
      <c r="H62" s="2"/>
      <c r="I62" s="2"/>
    </row>
    <row r="63" spans="1:9" s="3" customFormat="1" x14ac:dyDescent="0.3">
      <c r="A63" s="2"/>
      <c r="B63" s="1"/>
      <c r="C63" s="7" t="str">
        <f>"(B.)"&amp;E61</f>
        <v>(B.)照相、錄影。</v>
      </c>
      <c r="D63" s="2"/>
      <c r="E63" s="2"/>
      <c r="F63" s="2"/>
      <c r="G63" s="2"/>
      <c r="H63" s="2"/>
      <c r="I63" s="2"/>
    </row>
    <row r="64" spans="1:9" s="3" customFormat="1" x14ac:dyDescent="0.3">
      <c r="A64" s="2"/>
      <c r="B64" s="2"/>
      <c r="C64" s="7" t="str">
        <f>"(C.)"&amp;F61</f>
        <v>(C.)電磁紀錄竊錄。</v>
      </c>
      <c r="D64" s="2"/>
      <c r="E64" s="2"/>
      <c r="F64" s="2"/>
      <c r="G64" s="2"/>
      <c r="H64" s="2"/>
      <c r="I64" s="2"/>
    </row>
    <row r="65" spans="1:9" s="3" customFormat="1" x14ac:dyDescent="0.3">
      <c r="A65" s="2"/>
      <c r="B65" s="2"/>
      <c r="C65" s="7" t="str">
        <f>"(D.)"&amp;G61</f>
        <v>(D.)以上皆是。</v>
      </c>
      <c r="D65" s="2"/>
      <c r="E65" s="2"/>
      <c r="F65" s="2"/>
      <c r="G65" s="2"/>
      <c r="H65" s="2"/>
      <c r="I65" s="2"/>
    </row>
    <row r="66" spans="1:9" s="3" customFormat="1" x14ac:dyDescent="0.3">
      <c r="A66" s="2"/>
      <c r="B66" s="2"/>
      <c r="C66" s="7" t="str">
        <f>"答案是： "&amp;IF(H61="A",C62,IF(H61="B",C63,IF(H61="C",C64,IF(H61=("D"),C65,"XXXX"))))</f>
        <v>答案是： (D.)以上皆是。</v>
      </c>
      <c r="D66" s="2"/>
      <c r="E66" s="2"/>
      <c r="F66" s="2"/>
      <c r="G66" s="2"/>
      <c r="H66" s="2"/>
      <c r="I66" s="2"/>
    </row>
    <row r="67" spans="1:9" s="3" customFormat="1" ht="60" x14ac:dyDescent="0.3">
      <c r="A67" s="2"/>
      <c r="B67" s="2"/>
      <c r="C67" s="7" t="str">
        <f>"說明："&amp;I61</f>
        <v>說明：隱私權與個人資料受法律保護。在未獲得當事人明示同意前，操作人不得擅自利用無人機對其進行錄音、照相、錄影或任何電磁紀錄之竊錄，避免侵害個人隱私。</v>
      </c>
      <c r="D67" s="2"/>
      <c r="E67" s="2"/>
      <c r="F67" s="2"/>
      <c r="G67" s="2"/>
      <c r="H67" s="2"/>
      <c r="I67" s="2"/>
    </row>
    <row r="68" spans="1:9" s="3" customFormat="1" ht="45" x14ac:dyDescent="0.3">
      <c r="A68" s="4" t="str">
        <f>dB題庫!A11</f>
        <v>10</v>
      </c>
      <c r="B68" s="4" t="str">
        <f>dB題庫!B11</f>
        <v>操作人不得無故利用遙控無人機於哪個場所進行飛航活動？</v>
      </c>
      <c r="C68" s="4" t="str">
        <f t="shared" si="1"/>
        <v>10.操作人不得無故利用遙控無人機於哪個場所進行飛航活動？</v>
      </c>
      <c r="D68" s="4" t="str">
        <f>dB題庫!C11</f>
        <v>私人庭院。</v>
      </c>
      <c r="E68" s="4" t="str">
        <f>dB題庫!D11</f>
        <v>學校教室。</v>
      </c>
      <c r="F68" s="4" t="str">
        <f>dB題庫!E11</f>
        <v>辦公室場所。</v>
      </c>
      <c r="G68" s="4" t="str">
        <f>dB題庫!F11</f>
        <v>以上皆是。</v>
      </c>
      <c r="H68" s="4" t="str">
        <f>dB題庫!G11</f>
        <v>D</v>
      </c>
      <c r="I68" s="4" t="str">
        <f>dB題庫!H11</f>
        <v>私人庭院、學校教室、辦公室場所皆屬於非公開或有特定管理權限之場域，為保障空間內部人員之隱私、安寧與人身安全，操作人切勿無故飛入上述場所。</v>
      </c>
    </row>
    <row r="69" spans="1:9" s="3" customFormat="1" x14ac:dyDescent="0.3">
      <c r="A69" s="2" t="s">
        <v>541</v>
      </c>
      <c r="B69" s="1"/>
      <c r="C69" s="7" t="str">
        <f>"(A.)"&amp;D68</f>
        <v>(A.)私人庭院。</v>
      </c>
      <c r="D69" s="2"/>
      <c r="E69" s="2"/>
      <c r="F69" s="2"/>
      <c r="G69" s="2"/>
      <c r="H69" s="2"/>
      <c r="I69" s="2"/>
    </row>
    <row r="70" spans="1:9" s="3" customFormat="1" x14ac:dyDescent="0.3">
      <c r="A70" s="2"/>
      <c r="B70" s="1"/>
      <c r="C70" s="7" t="str">
        <f>"(B.)"&amp;E68</f>
        <v>(B.)學校教室。</v>
      </c>
      <c r="D70" s="2"/>
      <c r="E70" s="2"/>
      <c r="F70" s="2"/>
      <c r="G70" s="2"/>
      <c r="H70" s="2"/>
      <c r="I70" s="2"/>
    </row>
    <row r="71" spans="1:9" s="3" customFormat="1" x14ac:dyDescent="0.3">
      <c r="A71" s="2"/>
      <c r="B71" s="2"/>
      <c r="C71" s="7" t="str">
        <f>"(C.)"&amp;F68</f>
        <v>(C.)辦公室場所。</v>
      </c>
      <c r="D71" s="2"/>
      <c r="E71" s="2"/>
      <c r="F71" s="2"/>
      <c r="G71" s="2"/>
      <c r="H71" s="2"/>
      <c r="I71" s="2"/>
    </row>
    <row r="72" spans="1:9" s="3" customFormat="1" x14ac:dyDescent="0.3">
      <c r="A72" s="2"/>
      <c r="B72" s="2"/>
      <c r="C72" s="7" t="str">
        <f>"(D.)"&amp;G68</f>
        <v>(D.)以上皆是。</v>
      </c>
      <c r="D72" s="2"/>
      <c r="E72" s="2"/>
      <c r="F72" s="2"/>
      <c r="G72" s="2"/>
      <c r="H72" s="2"/>
      <c r="I72" s="2"/>
    </row>
    <row r="73" spans="1:9" s="3" customFormat="1" x14ac:dyDescent="0.3">
      <c r="A73" s="2"/>
      <c r="B73" s="2"/>
      <c r="C73" s="7" t="str">
        <f>"答案是： "&amp;IF(H68="A",C69,IF(H68="B",C70,IF(H68="C",C71,IF(H68=("D"),C72,"XXXX"))))</f>
        <v>答案是： (D.)以上皆是。</v>
      </c>
      <c r="D73" s="2"/>
      <c r="E73" s="2"/>
      <c r="F73" s="2"/>
      <c r="G73" s="2"/>
      <c r="H73" s="2"/>
      <c r="I73" s="2"/>
    </row>
    <row r="74" spans="1:9" s="3" customFormat="1" ht="60" x14ac:dyDescent="0.3">
      <c r="A74" s="2"/>
      <c r="B74" s="2"/>
      <c r="C74" s="7" t="str">
        <f>"說明："&amp;I68</f>
        <v>說明：私人庭院、學校教室、辦公室場所皆屬於非公開或有特定管理權限之場域，為保障空間內部人員之隱私、安寧與人身安全，操作人切勿無故飛入上述場所。</v>
      </c>
      <c r="D74" s="2"/>
      <c r="E74" s="2"/>
      <c r="F74" s="2"/>
      <c r="G74" s="2"/>
      <c r="H74" s="2"/>
      <c r="I74" s="2"/>
    </row>
    <row r="75" spans="1:9" s="3" customFormat="1" ht="60" x14ac:dyDescent="0.3">
      <c r="A75" s="4" t="str">
        <f>dB題庫!A18</f>
        <v>17</v>
      </c>
      <c r="B75" s="4" t="str">
        <f>dB題庫!B18</f>
        <v>某遙控無人機操作人欲代地方農會執行農藥噴灑作業，以下敘述何者正確？</v>
      </c>
      <c r="C75" s="4" t="str">
        <f t="shared" si="1"/>
        <v>17.某遙控無人機操作人欲代地方農會執行農藥噴灑作業，以下敘述何者正確？</v>
      </c>
      <c r="D75" s="4" t="str">
        <f>dB題庫!C18</f>
        <v>該操作人須通過學、術科測驗。</v>
      </c>
      <c r="E75" s="4" t="str">
        <f>dB題庫!D18</f>
        <v>該操作人不須通過術科測驗。</v>
      </c>
      <c r="F75" s="4" t="str">
        <f>dB題庫!E18</f>
        <v>執行農藥噴灑作業前不需經申請核准。</v>
      </c>
      <c r="G75" s="4" t="str">
        <f>dB題庫!F18</f>
        <v>以上皆是。</v>
      </c>
      <c r="H75" s="4" t="str">
        <f>dB題庫!G18</f>
        <v>A</v>
      </c>
      <c r="I75" s="4" t="str">
        <f>dB題庫!H18</f>
        <v>代農會（法人單位）執行業務，且屬於法規中涉及「噴灑物件」之特殊操作限制，該操作人必須考取對應的「專業操作證」（須通過學科與術科測驗），且作業前法人必須向民航局申請核准，故僅有 (A) 正確。</v>
      </c>
    </row>
    <row r="76" spans="1:9" s="3" customFormat="1" x14ac:dyDescent="0.3">
      <c r="A76" s="2" t="s">
        <v>541</v>
      </c>
      <c r="B76" s="1"/>
      <c r="C76" s="7" t="str">
        <f>"(A.)"&amp;D75</f>
        <v>(A.)該操作人須通過學、術科測驗。</v>
      </c>
      <c r="D76" s="2"/>
      <c r="E76" s="2"/>
      <c r="F76" s="2"/>
      <c r="G76" s="2"/>
      <c r="H76" s="2"/>
      <c r="I76" s="2"/>
    </row>
    <row r="77" spans="1:9" s="3" customFormat="1" x14ac:dyDescent="0.3">
      <c r="A77" s="2"/>
      <c r="B77" s="1"/>
      <c r="C77" s="7" t="str">
        <f>"(B.)"&amp;E75</f>
        <v>(B.)該操作人不須通過術科測驗。</v>
      </c>
      <c r="D77" s="2"/>
      <c r="E77" s="2"/>
      <c r="F77" s="2"/>
      <c r="G77" s="2"/>
      <c r="H77" s="2"/>
      <c r="I77" s="2"/>
    </row>
    <row r="78" spans="1:9" s="3" customFormat="1" x14ac:dyDescent="0.3">
      <c r="A78" s="2"/>
      <c r="B78" s="2"/>
      <c r="C78" s="7" t="str">
        <f>"(C.)"&amp;F75</f>
        <v>(C.)執行農藥噴灑作業前不需經申請核准。</v>
      </c>
      <c r="D78" s="2"/>
      <c r="E78" s="2"/>
      <c r="F78" s="2"/>
      <c r="G78" s="2"/>
      <c r="H78" s="2"/>
      <c r="I78" s="2"/>
    </row>
    <row r="79" spans="1:9" s="3" customFormat="1" x14ac:dyDescent="0.3">
      <c r="A79" s="2"/>
      <c r="B79" s="2"/>
      <c r="C79" s="7" t="str">
        <f>"(D.)"&amp;G75</f>
        <v>(D.)以上皆是。</v>
      </c>
      <c r="D79" s="2"/>
      <c r="E79" s="2"/>
      <c r="F79" s="2"/>
      <c r="G79" s="2"/>
      <c r="H79" s="2"/>
      <c r="I79" s="2"/>
    </row>
    <row r="80" spans="1:9" s="3" customFormat="1" x14ac:dyDescent="0.3">
      <c r="A80" s="2"/>
      <c r="B80" s="2"/>
      <c r="C80" s="7" t="str">
        <f>"答案是： "&amp;IF(H75="A",C76,IF(H75="B",C77,IF(H75="C",C78,IF(H75=("D"),C79,"XXXX"))))</f>
        <v>答案是： (A.)該操作人須通過學、術科測驗。</v>
      </c>
      <c r="D80" s="2"/>
      <c r="E80" s="2"/>
      <c r="F80" s="2"/>
      <c r="G80" s="2"/>
      <c r="H80" s="2"/>
      <c r="I80" s="2"/>
    </row>
    <row r="81" spans="1:9" s="3" customFormat="1" ht="75" x14ac:dyDescent="0.3">
      <c r="A81" s="2"/>
      <c r="B81" s="2"/>
      <c r="C81" s="7" t="str">
        <f>"說明："&amp;I75</f>
        <v>說明：代農會（法人單位）執行業務，且屬於法規中涉及「噴灑物件」之特殊操作限制，該操作人必須考取對應的「專業操作證」（須通過學科與術科測驗），且作業前法人必須向民航局申請核准，故僅有 (A) 正確。</v>
      </c>
      <c r="D81" s="2"/>
      <c r="E81" s="2"/>
      <c r="F81" s="2"/>
      <c r="G81" s="2"/>
      <c r="H81" s="2"/>
      <c r="I81" s="2"/>
    </row>
    <row r="82" spans="1:9" s="3" customFormat="1" ht="45" x14ac:dyDescent="0.3">
      <c r="A82" s="4" t="str">
        <f>dB題庫!A19</f>
        <v>18</v>
      </c>
      <c r="B82" s="4" t="str">
        <f>dB題庫!B19</f>
        <v>於何處進行遙控無人機飛航活動適用民用航空法之「遙控無人機」相關規定？</v>
      </c>
      <c r="C82" s="4" t="str">
        <f t="shared" si="1"/>
        <v>18.於何處進行遙控無人機飛航活動適用民用航空法之「遙控無人機」相關規定？</v>
      </c>
      <c r="D82" s="4" t="str">
        <f>dB題庫!C19</f>
        <v>建築物內密閉空間。</v>
      </c>
      <c r="E82" s="4" t="str">
        <f>dB題庫!D19</f>
        <v>建築物外開放空間。</v>
      </c>
      <c r="F82" s="4" t="str">
        <f>dB題庫!E19</f>
        <v>任何空間。</v>
      </c>
      <c r="G82" s="4" t="str">
        <f>dB題庫!F19</f>
        <v>以上皆非。</v>
      </c>
      <c r="H82" s="4" t="str">
        <f>dB題庫!G19</f>
        <v>B</v>
      </c>
      <c r="I82" s="4" t="str">
        <f>dB題庫!H19</f>
        <v>民用航空法規範的核心為公眾空域之飛航安全。若是在「建築物內密閉空間」飛行，屬於室內管理與管轄範疇，不適用民航法遙控無人機專章之規定；法規明確適用於「建築物外開放空間」，故選 (B)。</v>
      </c>
    </row>
    <row r="83" spans="1:9" s="3" customFormat="1" x14ac:dyDescent="0.3">
      <c r="A83" s="2" t="s">
        <v>541</v>
      </c>
      <c r="B83" s="1"/>
      <c r="C83" s="7" t="str">
        <f>"(A.)"&amp;D82</f>
        <v>(A.)建築物內密閉空間。</v>
      </c>
      <c r="D83" s="2"/>
      <c r="E83" s="2"/>
      <c r="F83" s="2"/>
      <c r="G83" s="2"/>
      <c r="H83" s="2"/>
      <c r="I83" s="2"/>
    </row>
    <row r="84" spans="1:9" s="3" customFormat="1" x14ac:dyDescent="0.3">
      <c r="A84" s="2"/>
      <c r="B84" s="1"/>
      <c r="C84" s="7" t="str">
        <f>"(B.)"&amp;E82</f>
        <v>(B.)建築物外開放空間。</v>
      </c>
      <c r="D84" s="2"/>
      <c r="E84" s="2"/>
      <c r="F84" s="2"/>
      <c r="G84" s="2"/>
      <c r="H84" s="2"/>
      <c r="I84" s="2"/>
    </row>
    <row r="85" spans="1:9" s="3" customFormat="1" x14ac:dyDescent="0.3">
      <c r="A85" s="2"/>
      <c r="B85" s="2"/>
      <c r="C85" s="7" t="str">
        <f>"(C.)"&amp;F82</f>
        <v>(C.)任何空間。</v>
      </c>
      <c r="D85" s="2"/>
      <c r="E85" s="2"/>
      <c r="F85" s="2"/>
      <c r="G85" s="2"/>
      <c r="H85" s="2"/>
      <c r="I85" s="2"/>
    </row>
    <row r="86" spans="1:9" s="3" customFormat="1" x14ac:dyDescent="0.3">
      <c r="A86" s="2"/>
      <c r="B86" s="2"/>
      <c r="C86" s="7" t="str">
        <f>"(D.)"&amp;G82</f>
        <v>(D.)以上皆非。</v>
      </c>
      <c r="D86" s="2"/>
      <c r="E86" s="2"/>
      <c r="F86" s="2"/>
      <c r="G86" s="2"/>
      <c r="H86" s="2"/>
      <c r="I86" s="2"/>
    </row>
    <row r="87" spans="1:9" s="3" customFormat="1" x14ac:dyDescent="0.3">
      <c r="A87" s="2"/>
      <c r="B87" s="2"/>
      <c r="C87" s="7" t="str">
        <f>"答案是： "&amp;IF(H82="A",C83,IF(H82="B",C84,IF(H82="C",C85,IF(H82=("D"),C86,"XXXX"))))</f>
        <v>答案是： (B.)建築物外開放空間。</v>
      </c>
      <c r="D87" s="2"/>
      <c r="E87" s="2"/>
      <c r="F87" s="2"/>
      <c r="G87" s="2"/>
      <c r="H87" s="2"/>
      <c r="I87" s="2"/>
    </row>
    <row r="88" spans="1:9" s="3" customFormat="1" ht="75" x14ac:dyDescent="0.3">
      <c r="A88" s="2"/>
      <c r="B88" s="2"/>
      <c r="C88" s="7" t="str">
        <f>"說明："&amp;I82</f>
        <v>說明：民用航空法規範的核心為公眾空域之飛航安全。若是在「建築物內密閉空間」飛行，屬於室內管理與管轄範疇，不適用民航法遙控無人機專章之規定；法規明確適用於「建築物外開放空間」，故選 (B)。</v>
      </c>
      <c r="D88" s="2"/>
      <c r="E88" s="2"/>
      <c r="F88" s="2"/>
      <c r="G88" s="2"/>
      <c r="H88" s="2"/>
      <c r="I88" s="2"/>
    </row>
    <row r="89" spans="1:9" s="3" customFormat="1" ht="45" x14ac:dyDescent="0.3">
      <c r="A89" s="4" t="str">
        <f>dB題庫!A20</f>
        <v>19</v>
      </c>
      <c r="B89" s="4" t="str">
        <f>dB題庫!B20</f>
        <v>遙控無人機活動期間，其所有人或操作人應負責任為何？</v>
      </c>
      <c r="C89" s="4" t="str">
        <f t="shared" si="1"/>
        <v>19.遙控無人機活動期間，其所有人或操作人應負責任為何？</v>
      </c>
      <c r="D89" s="4" t="str">
        <f>dB題庫!C20</f>
        <v>使用安全之責。</v>
      </c>
      <c r="E89" s="4" t="str">
        <f>dB題庫!D20</f>
        <v>風險管理之責。</v>
      </c>
      <c r="F89" s="4" t="str">
        <f>dB題庫!E20</f>
        <v>法規遵循之責。</v>
      </c>
      <c r="G89" s="4" t="str">
        <f>dB題庫!F20</f>
        <v>以上皆是。</v>
      </c>
      <c r="H89" s="4" t="str">
        <f>dB題庫!G20</f>
        <v>D</v>
      </c>
      <c r="I89" s="4" t="str">
        <f>dB題庫!H20</f>
        <v>為了建立健全的無人機飛行環境，不論是飛機的所有人或是當下的實際操作人，都同時負有確保機器妥善使用（使用安全）、評估周遭氣象空域（風險管理）以及遵守限高/禁航區等法規（法規遵循）之全面責任。</v>
      </c>
    </row>
    <row r="90" spans="1:9" s="3" customFormat="1" x14ac:dyDescent="0.3">
      <c r="A90" s="2" t="s">
        <v>541</v>
      </c>
      <c r="B90" s="1"/>
      <c r="C90" s="7" t="str">
        <f>"(A.)"&amp;D89</f>
        <v>(A.)使用安全之責。</v>
      </c>
      <c r="D90" s="2"/>
      <c r="E90" s="2"/>
      <c r="F90" s="2"/>
      <c r="G90" s="2"/>
      <c r="H90" s="2"/>
      <c r="I90" s="2"/>
    </row>
    <row r="91" spans="1:9" s="3" customFormat="1" x14ac:dyDescent="0.3">
      <c r="A91" s="2"/>
      <c r="B91" s="1"/>
      <c r="C91" s="7" t="str">
        <f>"(B.)"&amp;E89</f>
        <v>(B.)風險管理之責。</v>
      </c>
      <c r="D91" s="2"/>
      <c r="E91" s="2"/>
      <c r="F91" s="2"/>
      <c r="G91" s="2"/>
      <c r="H91" s="2"/>
      <c r="I91" s="2"/>
    </row>
    <row r="92" spans="1:9" s="3" customFormat="1" x14ac:dyDescent="0.3">
      <c r="A92" s="2"/>
      <c r="B92" s="2"/>
      <c r="C92" s="7" t="str">
        <f>"(C.)"&amp;F89</f>
        <v>(C.)法規遵循之責。</v>
      </c>
      <c r="D92" s="2"/>
      <c r="E92" s="2"/>
      <c r="F92" s="2"/>
      <c r="G92" s="2"/>
      <c r="H92" s="2"/>
      <c r="I92" s="2"/>
    </row>
    <row r="93" spans="1:9" s="3" customFormat="1" x14ac:dyDescent="0.3">
      <c r="A93" s="2"/>
      <c r="B93" s="2"/>
      <c r="C93" s="7" t="str">
        <f>"(D.)"&amp;G89</f>
        <v>(D.)以上皆是。</v>
      </c>
      <c r="D93" s="2"/>
      <c r="E93" s="2"/>
      <c r="F93" s="2"/>
      <c r="G93" s="2"/>
      <c r="H93" s="2"/>
      <c r="I93" s="2"/>
    </row>
    <row r="94" spans="1:9" s="3" customFormat="1" x14ac:dyDescent="0.3">
      <c r="A94" s="2"/>
      <c r="B94" s="2"/>
      <c r="C94" s="7" t="str">
        <f>"答案是： "&amp;IF(H89="A",C90,IF(H89="B",C91,IF(H89="C",C92,IF(H89=("D"),C93,"XXXX"))))</f>
        <v>答案是： (D.)以上皆是。</v>
      </c>
      <c r="D94" s="2"/>
      <c r="E94" s="2"/>
      <c r="F94" s="2"/>
      <c r="G94" s="2"/>
      <c r="H94" s="2"/>
      <c r="I94" s="2"/>
    </row>
    <row r="95" spans="1:9" s="3" customFormat="1" ht="75" x14ac:dyDescent="0.3">
      <c r="A95" s="2"/>
      <c r="B95" s="2"/>
      <c r="C95" s="7" t="str">
        <f>"說明："&amp;I89</f>
        <v>說明：為了建立健全的無人機飛行環境，不論是飛機的所有人或是當下的實際操作人，都同時負有確保機器妥善使用（使用安全）、評估周遭氣象空域（風險管理）以及遵守限高/禁航區等法規（法規遵循）之全面責任。</v>
      </c>
      <c r="D95" s="2"/>
      <c r="E95" s="2"/>
      <c r="F95" s="2"/>
      <c r="G95" s="2"/>
      <c r="H95" s="2"/>
      <c r="I95" s="2"/>
    </row>
    <row r="96" spans="1:9" s="3" customFormat="1" ht="75" x14ac:dyDescent="0.3">
      <c r="A96" s="4" t="str">
        <f>dB題庫!A21</f>
        <v>20</v>
      </c>
      <c r="B96" s="4" t="str">
        <f>dB題庫!B21</f>
        <v>有關遙控無人機飛航活動，下列敘述何者正確？</v>
      </c>
      <c r="C96" s="4" t="str">
        <f t="shared" si="1"/>
        <v>20.有關遙控無人機飛航活動，下列敘述何者正確？</v>
      </c>
      <c r="D96" s="4" t="str">
        <f>dB題庫!C21</f>
        <v>未經許可不得飛航於禁航區。</v>
      </c>
      <c r="E96" s="4" t="str">
        <f>dB題庫!D21</f>
        <v>可任意飛航於限航區。</v>
      </c>
      <c r="F96" s="4" t="str">
        <f>dB題庫!E21</f>
        <v>航空站四周之一定距離範圍內飛航無相關規定。</v>
      </c>
      <c r="G96" s="4" t="str">
        <f>dB題庫!F21</f>
        <v>以上皆是。</v>
      </c>
      <c r="H96" s="4" t="str">
        <f>dB題庫!G21</f>
        <v>A</v>
      </c>
      <c r="I96" s="4" t="str">
        <f>dB題庫!H21</f>
        <v>(B) 限航區亦須經申請許可始得進入，絕不可任意飛航；(C) 航空站四周為嚴重威脅民航機安全的敏感區域，法律設有嚴格的禁止/限制飛航一定距離規定。只有 (A)「未經許可不得飛航於禁航區」為正確法規。</v>
      </c>
    </row>
    <row r="97" spans="1:9" s="3" customFormat="1" x14ac:dyDescent="0.3">
      <c r="A97" s="2" t="s">
        <v>541</v>
      </c>
      <c r="B97" s="1"/>
      <c r="C97" s="7" t="str">
        <f>"(A.)"&amp;D96</f>
        <v>(A.)未經許可不得飛航於禁航區。</v>
      </c>
      <c r="D97" s="2"/>
      <c r="E97" s="2"/>
      <c r="F97" s="2"/>
      <c r="G97" s="2"/>
      <c r="H97" s="2"/>
      <c r="I97" s="2"/>
    </row>
    <row r="98" spans="1:9" s="3" customFormat="1" x14ac:dyDescent="0.3">
      <c r="A98" s="2"/>
      <c r="B98" s="1"/>
      <c r="C98" s="7" t="str">
        <f>"(B.)"&amp;E96</f>
        <v>(B.)可任意飛航於限航區。</v>
      </c>
      <c r="D98" s="2"/>
      <c r="E98" s="2"/>
      <c r="F98" s="2"/>
      <c r="G98" s="2"/>
      <c r="H98" s="2"/>
      <c r="I98" s="2"/>
    </row>
    <row r="99" spans="1:9" s="3" customFormat="1" ht="30" x14ac:dyDescent="0.3">
      <c r="A99" s="2"/>
      <c r="B99" s="2"/>
      <c r="C99" s="7" t="str">
        <f>"(C.)"&amp;F96</f>
        <v>(C.)航空站四周之一定距離範圍內飛航無相關規定。</v>
      </c>
      <c r="D99" s="2"/>
      <c r="E99" s="2"/>
      <c r="F99" s="2"/>
      <c r="G99" s="2"/>
      <c r="H99" s="2"/>
      <c r="I99" s="2"/>
    </row>
    <row r="100" spans="1:9" s="3" customFormat="1" x14ac:dyDescent="0.3">
      <c r="A100" s="2"/>
      <c r="B100" s="2"/>
      <c r="C100" s="7" t="str">
        <f>"(D.)"&amp;G96</f>
        <v>(D.)以上皆是。</v>
      </c>
      <c r="D100" s="2"/>
      <c r="E100" s="2"/>
      <c r="F100" s="2"/>
      <c r="G100" s="2"/>
      <c r="H100" s="2"/>
      <c r="I100" s="2"/>
    </row>
    <row r="101" spans="1:9" s="3" customFormat="1" x14ac:dyDescent="0.3">
      <c r="A101" s="2"/>
      <c r="B101" s="2"/>
      <c r="C101" s="7" t="str">
        <f>"答案是： "&amp;IF(H96="A",C97,IF(H96="B",C98,IF(H96="C",C99,IF(H96=("D"),C100,"XXXX"))))</f>
        <v>答案是： (A.)未經許可不得飛航於禁航區。</v>
      </c>
      <c r="D101" s="2"/>
      <c r="E101" s="2"/>
      <c r="F101" s="2"/>
      <c r="G101" s="2"/>
      <c r="H101" s="2"/>
      <c r="I101" s="2"/>
    </row>
    <row r="102" spans="1:9" s="3" customFormat="1" ht="75" x14ac:dyDescent="0.3">
      <c r="A102" s="2"/>
      <c r="B102" s="2"/>
      <c r="C102" s="7" t="str">
        <f>"說明："&amp;I96</f>
        <v>說明：(B) 限航區亦須經申請許可始得進入，絕不可任意飛航；(C) 航空站四周為嚴重威脅民航機安全的敏感區域，法律設有嚴格的禁止/限制飛航一定距離規定。只有 (A)「未經許可不得飛航於禁航區」為正確法規。</v>
      </c>
      <c r="D102" s="2"/>
      <c r="E102" s="2"/>
      <c r="F102" s="2"/>
      <c r="G102" s="2"/>
      <c r="H102" s="2"/>
      <c r="I102" s="2"/>
    </row>
    <row r="103" spans="1:9" s="3" customFormat="1" ht="30" x14ac:dyDescent="0.3">
      <c r="A103" s="4" t="str">
        <f>dB題庫!A22</f>
        <v>21</v>
      </c>
      <c r="B103" s="4" t="str">
        <f>dB題庫!B22</f>
        <v>航空站或飛行場四周之一定距離範圍係由哪個機關進行公告？</v>
      </c>
      <c r="C103" s="4" t="str">
        <f t="shared" si="1"/>
        <v>21.航空站或飛行場四周之一定距離範圍係由哪個機關進行公告？</v>
      </c>
      <c r="D103" s="4" t="str">
        <f>dB題庫!C22</f>
        <v>民航局。</v>
      </c>
      <c r="E103" s="4" t="str">
        <f>dB題庫!D22</f>
        <v>衛福部。</v>
      </c>
      <c r="F103" s="4" t="str">
        <f>dB題庫!E22</f>
        <v>內政部。</v>
      </c>
      <c r="G103" s="4" t="str">
        <f>dB題庫!F22</f>
        <v>文化部。</v>
      </c>
      <c r="H103" s="4" t="str">
        <f>dB題庫!G22</f>
        <v>A</v>
      </c>
      <c r="I103" s="4" t="str">
        <f>dB題庫!H22</f>
        <v>航空站及飛行場屬於民用航空主管業務範疇，因此其四周禁止/限制遙控無人機飛航之一定距離範圍，依法係由「民航局」進行劃定並公告。</v>
      </c>
    </row>
    <row r="104" spans="1:9" s="3" customFormat="1" x14ac:dyDescent="0.3">
      <c r="A104" s="2" t="s">
        <v>541</v>
      </c>
      <c r="B104" s="1"/>
      <c r="C104" s="7" t="str">
        <f>"(A.)"&amp;D103</f>
        <v>(A.)民航局。</v>
      </c>
      <c r="D104" s="2"/>
      <c r="E104" s="2"/>
      <c r="F104" s="2"/>
      <c r="G104" s="2"/>
      <c r="H104" s="2"/>
      <c r="I104" s="2"/>
    </row>
    <row r="105" spans="1:9" s="3" customFormat="1" x14ac:dyDescent="0.3">
      <c r="A105" s="2"/>
      <c r="B105" s="1"/>
      <c r="C105" s="7" t="str">
        <f>"(B.)"&amp;E103</f>
        <v>(B.)衛福部。</v>
      </c>
      <c r="D105" s="2"/>
      <c r="E105" s="2"/>
      <c r="F105" s="2"/>
      <c r="G105" s="2"/>
      <c r="H105" s="2"/>
      <c r="I105" s="2"/>
    </row>
    <row r="106" spans="1:9" s="3" customFormat="1" x14ac:dyDescent="0.3">
      <c r="A106" s="2"/>
      <c r="B106" s="2"/>
      <c r="C106" s="7" t="str">
        <f>"(C.)"&amp;F103</f>
        <v>(C.)內政部。</v>
      </c>
      <c r="D106" s="2"/>
      <c r="E106" s="2"/>
      <c r="F106" s="2"/>
      <c r="G106" s="2"/>
      <c r="H106" s="2"/>
      <c r="I106" s="2"/>
    </row>
    <row r="107" spans="1:9" s="3" customFormat="1" x14ac:dyDescent="0.3">
      <c r="A107" s="2"/>
      <c r="B107" s="2"/>
      <c r="C107" s="7" t="str">
        <f>"(D.)"&amp;G103</f>
        <v>(D.)文化部。</v>
      </c>
      <c r="D107" s="2"/>
      <c r="E107" s="2"/>
      <c r="F107" s="2"/>
      <c r="G107" s="2"/>
      <c r="H107" s="2"/>
      <c r="I107" s="2"/>
    </row>
    <row r="108" spans="1:9" s="3" customFormat="1" x14ac:dyDescent="0.3">
      <c r="A108" s="2"/>
      <c r="B108" s="2"/>
      <c r="C108" s="7" t="str">
        <f>"答案是： "&amp;IF(H103="A",C104,IF(H103="B",C105,IF(H103="C",C106,IF(H103=("D"),C107,"XXXX"))))</f>
        <v>答案是： (A.)民航局。</v>
      </c>
      <c r="D108" s="2"/>
      <c r="E108" s="2"/>
      <c r="F108" s="2"/>
      <c r="G108" s="2"/>
      <c r="H108" s="2"/>
      <c r="I108" s="2"/>
    </row>
    <row r="109" spans="1:9" s="3" customFormat="1" ht="60" x14ac:dyDescent="0.3">
      <c r="A109" s="2"/>
      <c r="B109" s="2"/>
      <c r="C109" s="7" t="str">
        <f>"說明："&amp;I103</f>
        <v>說明：航空站及飛行場屬於民用航空主管業務範疇，因此其四周禁止/限制遙控無人機飛航之一定距離範圍，依法係由「民航局」進行劃定並公告。</v>
      </c>
      <c r="D109" s="2"/>
      <c r="E109" s="2"/>
      <c r="F109" s="2"/>
      <c r="G109" s="2"/>
      <c r="H109" s="2"/>
      <c r="I109" s="2"/>
    </row>
    <row r="110" spans="1:9" s="3" customFormat="1" ht="45" x14ac:dyDescent="0.3">
      <c r="A110" s="4" t="str">
        <f>dB題庫!A23</f>
        <v>22</v>
      </c>
      <c r="B110" s="4" t="str">
        <f>dB題庫!B23</f>
        <v>直轄市、縣(市)政府依民航法第99條之13第2項所規範之區域內，得依公益及安全需要，進行哪些項目之公告？</v>
      </c>
      <c r="C110" s="4" t="str">
        <f t="shared" si="1"/>
        <v>22.直轄市、縣(市)政府依民航法第99條之13第2項所規範之區域內，得依公益及安全需要，進行哪些項目之公告？</v>
      </c>
      <c r="D110" s="4" t="str">
        <f>dB題庫!C23</f>
        <v>遙控無人機活動區域。</v>
      </c>
      <c r="E110" s="4" t="str">
        <f>dB題庫!D23</f>
        <v>遙控無人機活動時間。</v>
      </c>
      <c r="F110" s="4" t="str">
        <f>dB題庫!E23</f>
        <v>其他管理事項。</v>
      </c>
      <c r="G110" s="4" t="str">
        <f>dB題庫!F23</f>
        <v>以上皆是。</v>
      </c>
      <c r="H110" s="4" t="str">
        <f>dB題庫!G23</f>
        <v>D</v>
      </c>
      <c r="I110" s="4" t="str">
        <f>dB題庫!H23</f>
        <v>地方空域（綠區、紅區、黃區之細部管理）由地方政府管轄。直轄市、縣（市）政府得依在地公益與公共安全之考量，全面公告其轄區內無人機可飛或不可飛的區域、時間、以及特定限制（其他管理事項），故選 (D)。</v>
      </c>
    </row>
    <row r="111" spans="1:9" s="3" customFormat="1" x14ac:dyDescent="0.3">
      <c r="A111" s="2" t="s">
        <v>541</v>
      </c>
      <c r="B111" s="1"/>
      <c r="C111" s="7" t="str">
        <f>"(A.)"&amp;D110</f>
        <v>(A.)遙控無人機活動區域。</v>
      </c>
      <c r="D111" s="2"/>
      <c r="E111" s="2"/>
      <c r="F111" s="2"/>
      <c r="G111" s="2"/>
      <c r="H111" s="2"/>
      <c r="I111" s="2"/>
    </row>
    <row r="112" spans="1:9" s="3" customFormat="1" x14ac:dyDescent="0.3">
      <c r="A112" s="2"/>
      <c r="B112" s="1"/>
      <c r="C112" s="7" t="str">
        <f>"(B.)"&amp;E110</f>
        <v>(B.)遙控無人機活動時間。</v>
      </c>
      <c r="D112" s="2"/>
      <c r="E112" s="2"/>
      <c r="F112" s="2"/>
      <c r="G112" s="2"/>
      <c r="H112" s="2"/>
      <c r="I112" s="2"/>
    </row>
    <row r="113" spans="1:9" s="3" customFormat="1" x14ac:dyDescent="0.3">
      <c r="A113" s="2"/>
      <c r="B113" s="2"/>
      <c r="C113" s="7" t="str">
        <f>"(C.)"&amp;F110</f>
        <v>(C.)其他管理事項。</v>
      </c>
      <c r="D113" s="2"/>
      <c r="E113" s="2"/>
      <c r="F113" s="2"/>
      <c r="G113" s="2"/>
      <c r="H113" s="2"/>
      <c r="I113" s="2"/>
    </row>
    <row r="114" spans="1:9" s="3" customFormat="1" x14ac:dyDescent="0.3">
      <c r="A114" s="2"/>
      <c r="B114" s="2"/>
      <c r="C114" s="7" t="str">
        <f>"(D.)"&amp;G110</f>
        <v>(D.)以上皆是。</v>
      </c>
      <c r="D114" s="2"/>
      <c r="E114" s="2"/>
      <c r="F114" s="2"/>
      <c r="G114" s="2"/>
      <c r="H114" s="2"/>
      <c r="I114" s="2"/>
    </row>
    <row r="115" spans="1:9" s="3" customFormat="1" x14ac:dyDescent="0.3">
      <c r="A115" s="2"/>
      <c r="B115" s="2"/>
      <c r="C115" s="7" t="str">
        <f>"答案是： "&amp;IF(H110="A",C111,IF(H110="B",C112,IF(H110="C",C113,IF(H110=("D"),C114,"XXXX"))))</f>
        <v>答案是： (D.)以上皆是。</v>
      </c>
      <c r="D115" s="2"/>
      <c r="E115" s="2"/>
      <c r="F115" s="2"/>
      <c r="G115" s="2"/>
      <c r="H115" s="2"/>
      <c r="I115" s="2"/>
    </row>
    <row r="116" spans="1:9" s="3" customFormat="1" ht="75" x14ac:dyDescent="0.3">
      <c r="A116" s="2"/>
      <c r="B116" s="2"/>
      <c r="C116" s="7" t="str">
        <f>"說明："&amp;I110</f>
        <v>說明：地方空域（綠區、紅區、黃區之細部管理）由地方政府管轄。直轄市、縣（市）政府得依在地公益與公共安全之考量，全面公告其轄區內無人機可飛或不可飛的區域、時間、以及特定限制（其他管理事項），故選 (D)。</v>
      </c>
      <c r="D116" s="2"/>
      <c r="E116" s="2"/>
      <c r="F116" s="2"/>
      <c r="G116" s="2"/>
      <c r="H116" s="2"/>
      <c r="I116" s="2"/>
    </row>
    <row r="117" spans="1:9" s="3" customFormat="1" ht="45" x14ac:dyDescent="0.3">
      <c r="A117" s="4" t="str">
        <f>dB題庫!A24</f>
        <v>23</v>
      </c>
      <c r="B117" s="4" t="str">
        <f>dB題庫!B24</f>
        <v>中央主管機關認有禁止或限制遙控無人機飛航活動需求者，得提請所在地哪個機關進行公告？</v>
      </c>
      <c r="C117" s="4" t="str">
        <f t="shared" si="1"/>
        <v>23.中央主管機關認有禁止或限制遙控無人機飛航活動需求者，得提請所在地哪個機關進行公告？</v>
      </c>
      <c r="D117" s="4" t="str">
        <f>dB題庫!C24</f>
        <v>鄉鎮區公所。</v>
      </c>
      <c r="E117" s="4" t="str">
        <f>dB題庫!D24</f>
        <v>直轄市、縣(市)政府。</v>
      </c>
      <c r="F117" s="4" t="str">
        <f>dB題庫!E24</f>
        <v>地方派出所。</v>
      </c>
      <c r="G117" s="4" t="str">
        <f>dB題庫!F24</f>
        <v>地方農會。</v>
      </c>
      <c r="H117" s="4" t="str">
        <f>dB題庫!G24</f>
        <v>B</v>
      </c>
      <c r="I117" s="4" t="str">
        <f>dB題庫!H24</f>
        <v>各中央部會（如軍事基地、國家公園等中央機關）如在其轄管土地上有禁飛無人機需求，依法必須彙整並提請所在地的「直轄市、縣（市）政府」，由地方政府統一進行禁止/限制區域之公告。</v>
      </c>
    </row>
    <row r="118" spans="1:9" s="3" customFormat="1" x14ac:dyDescent="0.3">
      <c r="A118" s="2" t="s">
        <v>541</v>
      </c>
      <c r="B118" s="1"/>
      <c r="C118" s="7" t="str">
        <f>"(A.)"&amp;D117</f>
        <v>(A.)鄉鎮區公所。</v>
      </c>
      <c r="D118" s="2"/>
      <c r="E118" s="2"/>
      <c r="F118" s="2"/>
      <c r="G118" s="2"/>
      <c r="H118" s="2"/>
      <c r="I118" s="2"/>
    </row>
    <row r="119" spans="1:9" s="3" customFormat="1" x14ac:dyDescent="0.3">
      <c r="A119" s="2"/>
      <c r="B119" s="1"/>
      <c r="C119" s="7" t="str">
        <f>"(B.)"&amp;E117</f>
        <v>(B.)直轄市、縣(市)政府。</v>
      </c>
      <c r="D119" s="2"/>
      <c r="E119" s="2"/>
      <c r="F119" s="2"/>
      <c r="G119" s="2"/>
      <c r="H119" s="2"/>
      <c r="I119" s="2"/>
    </row>
    <row r="120" spans="1:9" s="3" customFormat="1" x14ac:dyDescent="0.3">
      <c r="A120" s="2"/>
      <c r="B120" s="2"/>
      <c r="C120" s="7" t="str">
        <f>"(C.)"&amp;F117</f>
        <v>(C.)地方派出所。</v>
      </c>
      <c r="D120" s="2"/>
      <c r="E120" s="2"/>
      <c r="F120" s="2"/>
      <c r="G120" s="2"/>
      <c r="H120" s="2"/>
      <c r="I120" s="2"/>
    </row>
    <row r="121" spans="1:9" s="3" customFormat="1" x14ac:dyDescent="0.3">
      <c r="A121" s="2"/>
      <c r="B121" s="2"/>
      <c r="C121" s="7" t="str">
        <f>"(D.)"&amp;G117</f>
        <v>(D.)地方農會。</v>
      </c>
      <c r="D121" s="2"/>
      <c r="E121" s="2"/>
      <c r="F121" s="2"/>
      <c r="G121" s="2"/>
      <c r="H121" s="2"/>
      <c r="I121" s="2"/>
    </row>
    <row r="122" spans="1:9" s="3" customFormat="1" x14ac:dyDescent="0.3">
      <c r="A122" s="2"/>
      <c r="B122" s="2"/>
      <c r="C122" s="7" t="str">
        <f>"答案是： "&amp;IF(H117="A",C118,IF(H117="B",C119,IF(H117="C",C120,IF(H117=("D"),C121,"XXXX"))))</f>
        <v>答案是： (B.)直轄市、縣(市)政府。</v>
      </c>
      <c r="D122" s="2"/>
      <c r="E122" s="2"/>
      <c r="F122" s="2"/>
      <c r="G122" s="2"/>
      <c r="H122" s="2"/>
      <c r="I122" s="2"/>
    </row>
    <row r="123" spans="1:9" s="3" customFormat="1" ht="75" x14ac:dyDescent="0.3">
      <c r="A123" s="2"/>
      <c r="B123" s="2"/>
      <c r="C123" s="7" t="str">
        <f>"說明："&amp;I117</f>
        <v>說明：各中央部會（如軍事基地、國家公園等中央機關）如在其轄管土地上有禁飛無人機需求，依法必須彙整並提請所在地的「直轄市、縣（市）政府」，由地方政府統一進行禁止/限制區域之公告。</v>
      </c>
      <c r="D123" s="2"/>
      <c r="E123" s="2"/>
      <c r="F123" s="2"/>
      <c r="G123" s="2"/>
      <c r="H123" s="2"/>
      <c r="I123" s="2"/>
    </row>
    <row r="124" spans="1:9" s="3" customFormat="1" ht="75" x14ac:dyDescent="0.3">
      <c r="A124" s="4" t="str">
        <f>dB題庫!A25</f>
        <v>24</v>
      </c>
      <c r="B124" s="4" t="str">
        <f>dB題庫!B25</f>
        <v>政府機關(構)、學校或法人因執行業務需於禁、限航區及航空站或飛行場四周一定距離範圍內從事遙控無人機飛航活動者，應申請何者會商目的事業主管機關同意後，始得為之？</v>
      </c>
      <c r="C124" s="4" t="str">
        <f t="shared" si="1"/>
        <v>24.政府機關(構)、學校或法人因執行業務需於禁、限航區及航空站或飛行場四周一定距離範圍內從事遙控無人機飛航活動者，應申請何者會商目的事業主管機關同意後，始得為之？</v>
      </c>
      <c r="D124" s="4" t="str">
        <f>dB題庫!C25</f>
        <v>鄉鎮區公所。</v>
      </c>
      <c r="E124" s="4" t="str">
        <f>dB題庫!D25</f>
        <v>衛福部。</v>
      </c>
      <c r="F124" s="4" t="str">
        <f>dB題庫!E25</f>
        <v>民航局。</v>
      </c>
      <c r="G124" s="4" t="str">
        <f>dB題庫!F25</f>
        <v>科技部。</v>
      </c>
      <c r="H124" s="4" t="str">
        <f>dB題庫!G25</f>
        <v>C</v>
      </c>
      <c r="I124" s="4" t="str">
        <f>dB題庫!H25</f>
        <v>禁航區、限航區、機場四周屬於中央民航管制空域，政府機關、學校或法人若因公務、學術等執行業務必要進入，必須提前向「民航局」提出申請，由民航局會商相關目的事業主管機關同意後發給許可。</v>
      </c>
    </row>
    <row r="125" spans="1:9" s="3" customFormat="1" x14ac:dyDescent="0.3">
      <c r="A125" s="2" t="s">
        <v>541</v>
      </c>
      <c r="B125" s="1"/>
      <c r="C125" s="7" t="str">
        <f>"(A.)"&amp;D124</f>
        <v>(A.)鄉鎮區公所。</v>
      </c>
      <c r="D125" s="2"/>
      <c r="E125" s="2"/>
      <c r="F125" s="2"/>
      <c r="G125" s="2"/>
      <c r="H125" s="2"/>
      <c r="I125" s="2"/>
    </row>
    <row r="126" spans="1:9" s="3" customFormat="1" x14ac:dyDescent="0.3">
      <c r="A126" s="2"/>
      <c r="B126" s="1"/>
      <c r="C126" s="7" t="str">
        <f>"(B.)"&amp;E124</f>
        <v>(B.)衛福部。</v>
      </c>
      <c r="D126" s="2"/>
      <c r="E126" s="2"/>
      <c r="F126" s="2"/>
      <c r="G126" s="2"/>
      <c r="H126" s="2"/>
      <c r="I126" s="2"/>
    </row>
    <row r="127" spans="1:9" s="3" customFormat="1" x14ac:dyDescent="0.3">
      <c r="A127" s="2"/>
      <c r="B127" s="2"/>
      <c r="C127" s="7" t="str">
        <f>"(C.)"&amp;F124</f>
        <v>(C.)民航局。</v>
      </c>
      <c r="D127" s="2"/>
      <c r="E127" s="2"/>
      <c r="F127" s="2"/>
      <c r="G127" s="2"/>
      <c r="H127" s="2"/>
      <c r="I127" s="2"/>
    </row>
    <row r="128" spans="1:9" s="3" customFormat="1" x14ac:dyDescent="0.3">
      <c r="A128" s="2"/>
      <c r="B128" s="2"/>
      <c r="C128" s="7" t="str">
        <f>"(D.)"&amp;G124</f>
        <v>(D.)科技部。</v>
      </c>
      <c r="D128" s="2"/>
      <c r="E128" s="2"/>
      <c r="F128" s="2"/>
      <c r="G128" s="2"/>
      <c r="H128" s="2"/>
      <c r="I128" s="2"/>
    </row>
    <row r="129" spans="1:9" s="3" customFormat="1" x14ac:dyDescent="0.3">
      <c r="A129" s="2"/>
      <c r="B129" s="2"/>
      <c r="C129" s="7" t="str">
        <f>"答案是： "&amp;IF(H124="A",C125,IF(H124="B",C126,IF(H124="C",C127,IF(H124=("D"),C128,"XXXX"))))</f>
        <v>答案是： (C.)民航局。</v>
      </c>
      <c r="D129" s="2"/>
      <c r="E129" s="2"/>
      <c r="F129" s="2"/>
      <c r="G129" s="2"/>
      <c r="H129" s="2"/>
      <c r="I129" s="2"/>
    </row>
    <row r="130" spans="1:9" s="3" customFormat="1" ht="75" x14ac:dyDescent="0.3">
      <c r="A130" s="2"/>
      <c r="B130" s="2"/>
      <c r="C130" s="7" t="str">
        <f>"說明："&amp;I124</f>
        <v>說明：禁航區、限航區、機場四周屬於中央民航管制空域，政府機關、學校或法人若因公務、學術等執行業務必要進入，必須提前向「民航局」提出申請，由民航局會商相關目的事業主管機關同意後發給許可。</v>
      </c>
      <c r="D130" s="2"/>
      <c r="E130" s="2"/>
      <c r="F130" s="2"/>
      <c r="G130" s="2"/>
      <c r="H130" s="2"/>
      <c r="I130" s="2"/>
    </row>
    <row r="131" spans="1:9" s="3" customFormat="1" ht="75" x14ac:dyDescent="0.3">
      <c r="A131" s="4" t="str">
        <f>dB題庫!A26</f>
        <v>25</v>
      </c>
      <c r="B131" s="4" t="str">
        <f>dB題庫!B26</f>
        <v>政府機關(構)、學校或法人因執行業務需於直轄市、縣(市)政府所公告之遙控無人機活動區域、時間及其他管理事項外從事飛航活動者，應申請何者會商相關中央主管機關同意後，始得為之？</v>
      </c>
      <c r="C131" s="4" t="str">
        <f t="shared" si="1"/>
        <v>25.政府機關(構)、學校或法人因執行業務需於直轄市、縣(市)政府所公告之遙控無人機活動區域、時間及其他管理事項外從事飛航活動者，應申請何者會商相關中央主管機關同意後，始得為之？</v>
      </c>
      <c r="D131" s="4" t="str">
        <f>dB題庫!C26</f>
        <v>直轄市、縣(市)政府。</v>
      </c>
      <c r="E131" s="4" t="str">
        <f>dB題庫!D26</f>
        <v>衛福部。</v>
      </c>
      <c r="F131" s="4" t="str">
        <f>dB題庫!E26</f>
        <v>農委會。</v>
      </c>
      <c r="G131" s="4" t="str">
        <f>dB題庫!F26</f>
        <v>交通部。</v>
      </c>
      <c r="H131" s="4" t="str">
        <f>dB題庫!G26</f>
        <v>A</v>
      </c>
      <c r="I131" s="4" t="str">
        <f>dB題庫!H26</f>
        <v>若活動空域涉及地方政府公告的禁止時間或區域外（例如在地方公告的紅區飛行公務公文），申請程序必須向該空域之地方管轄機關「直轄市、縣（市）政府」提出，由地方政府會商中央機關同意後核准。</v>
      </c>
    </row>
    <row r="132" spans="1:9" s="3" customFormat="1" x14ac:dyDescent="0.3">
      <c r="A132" s="2" t="s">
        <v>541</v>
      </c>
      <c r="B132" s="1"/>
      <c r="C132" s="7" t="str">
        <f>"(A.)"&amp;D131</f>
        <v>(A.)直轄市、縣(市)政府。</v>
      </c>
      <c r="D132" s="2"/>
      <c r="E132" s="2"/>
      <c r="F132" s="2"/>
      <c r="G132" s="2"/>
      <c r="H132" s="2"/>
      <c r="I132" s="2"/>
    </row>
    <row r="133" spans="1:9" s="3" customFormat="1" x14ac:dyDescent="0.3">
      <c r="A133" s="2"/>
      <c r="B133" s="1"/>
      <c r="C133" s="7" t="str">
        <f>"(B.)"&amp;E131</f>
        <v>(B.)衛福部。</v>
      </c>
      <c r="D133" s="2"/>
      <c r="E133" s="2"/>
      <c r="F133" s="2"/>
      <c r="G133" s="2"/>
      <c r="H133" s="2"/>
      <c r="I133" s="2"/>
    </row>
    <row r="134" spans="1:9" s="3" customFormat="1" x14ac:dyDescent="0.3">
      <c r="A134" s="2"/>
      <c r="B134" s="2"/>
      <c r="C134" s="7" t="str">
        <f>"(C.)"&amp;F131</f>
        <v>(C.)農委會。</v>
      </c>
      <c r="D134" s="2"/>
      <c r="E134" s="2"/>
      <c r="F134" s="2"/>
      <c r="G134" s="2"/>
      <c r="H134" s="2"/>
      <c r="I134" s="2"/>
    </row>
    <row r="135" spans="1:9" s="3" customFormat="1" x14ac:dyDescent="0.3">
      <c r="A135" s="2"/>
      <c r="B135" s="2"/>
      <c r="C135" s="7" t="str">
        <f>"(D.)"&amp;G131</f>
        <v>(D.)交通部。</v>
      </c>
      <c r="D135" s="2"/>
      <c r="E135" s="2"/>
      <c r="F135" s="2"/>
      <c r="G135" s="2"/>
      <c r="H135" s="2"/>
      <c r="I135" s="2"/>
    </row>
    <row r="136" spans="1:9" s="3" customFormat="1" x14ac:dyDescent="0.3">
      <c r="A136" s="2"/>
      <c r="B136" s="2"/>
      <c r="C136" s="7" t="str">
        <f>"答案是： "&amp;IF(H131="A",C132,IF(H131="B",C133,IF(H131="C",C134,IF(H131=("D"),C135,"XXXX"))))</f>
        <v>答案是： (A.)直轄市、縣(市)政府。</v>
      </c>
      <c r="D136" s="2"/>
      <c r="E136" s="2"/>
      <c r="F136" s="2"/>
      <c r="G136" s="2"/>
      <c r="H136" s="2"/>
      <c r="I136" s="2"/>
    </row>
    <row r="137" spans="1:9" s="3" customFormat="1" ht="75" x14ac:dyDescent="0.3">
      <c r="A137" s="2"/>
      <c r="B137" s="2"/>
      <c r="C137" s="7" t="str">
        <f>"說明："&amp;I131</f>
        <v>說明：若活動空域涉及地方政府公告的禁止時間或區域外（例如在地方公告的紅區飛行公務公文），申請程序必須向該空域之地方管轄機關「直轄市、縣（市）政府」提出，由地方政府會商中央機關同意後核准。</v>
      </c>
      <c r="D137" s="2"/>
      <c r="E137" s="2"/>
      <c r="F137" s="2"/>
      <c r="G137" s="2"/>
      <c r="H137" s="2"/>
      <c r="I137" s="2"/>
    </row>
    <row r="138" spans="1:9" s="3" customFormat="1" ht="45" x14ac:dyDescent="0.3">
      <c r="A138" s="4" t="str">
        <f>dB題庫!A27</f>
        <v>26</v>
      </c>
      <c r="B138" s="4" t="str">
        <f>dB題庫!B27</f>
        <v>遙控無人機未經同意飛入禁航區、限航區，得由何者採取適當措施予以制止或排除？</v>
      </c>
      <c r="C138" s="4" t="str">
        <f t="shared" si="1"/>
        <v>26.遙控無人機未經同意飛入禁航區、限航區，得由何者採取適當措施予以制止或排除？</v>
      </c>
      <c r="D138" s="4" t="str">
        <f>dB題庫!C27</f>
        <v>交通警察大隊。</v>
      </c>
      <c r="E138" s="4" t="str">
        <f>dB題庫!D27</f>
        <v>禁航區、限航區之管理人。</v>
      </c>
      <c r="F138" s="4" t="str">
        <f>dB題庫!E27</f>
        <v>鄉鎮區公所。</v>
      </c>
      <c r="G138" s="4" t="str">
        <f>dB題庫!F27</f>
        <v>地方派出所。</v>
      </c>
      <c r="H138" s="4" t="str">
        <f>dB題庫!G27</f>
        <v>B</v>
      </c>
      <c r="I138" s="4" t="str">
        <f>dB題庫!H27</f>
        <v>為了維護高風險關鍵基礎設施或特定管制空域的安全，當無人機非法入侵時，該「禁航區、限航區之管理人」（例如軍事基地指揮官或重要機關管理者）具有法律明文授權，得採取如干擾、攔截等適當措施予以制止或排除。</v>
      </c>
    </row>
    <row r="139" spans="1:9" s="3" customFormat="1" x14ac:dyDescent="0.3">
      <c r="A139" s="2" t="s">
        <v>541</v>
      </c>
      <c r="B139" s="1"/>
      <c r="C139" s="7" t="str">
        <f>"(A.)"&amp;D138</f>
        <v>(A.)交通警察大隊。</v>
      </c>
      <c r="D139" s="2"/>
      <c r="E139" s="2"/>
      <c r="F139" s="2"/>
      <c r="G139" s="2"/>
      <c r="H139" s="2"/>
      <c r="I139" s="2"/>
    </row>
    <row r="140" spans="1:9" s="3" customFormat="1" x14ac:dyDescent="0.3">
      <c r="A140" s="2"/>
      <c r="B140" s="1"/>
      <c r="C140" s="7" t="str">
        <f>"(B.)"&amp;E138</f>
        <v>(B.)禁航區、限航區之管理人。</v>
      </c>
      <c r="D140" s="2"/>
      <c r="E140" s="2"/>
      <c r="F140" s="2"/>
      <c r="G140" s="2"/>
      <c r="H140" s="2"/>
      <c r="I140" s="2"/>
    </row>
    <row r="141" spans="1:9" s="3" customFormat="1" x14ac:dyDescent="0.3">
      <c r="A141" s="2"/>
      <c r="B141" s="2"/>
      <c r="C141" s="7" t="str">
        <f>"(C.)"&amp;F138</f>
        <v>(C.)鄉鎮區公所。</v>
      </c>
      <c r="D141" s="2"/>
      <c r="E141" s="2"/>
      <c r="F141" s="2"/>
      <c r="G141" s="2"/>
      <c r="H141" s="2"/>
      <c r="I141" s="2"/>
    </row>
    <row r="142" spans="1:9" s="3" customFormat="1" x14ac:dyDescent="0.3">
      <c r="A142" s="2"/>
      <c r="B142" s="2"/>
      <c r="C142" s="7" t="str">
        <f>"(D.)"&amp;G138</f>
        <v>(D.)地方派出所。</v>
      </c>
      <c r="D142" s="2"/>
      <c r="E142" s="2"/>
      <c r="F142" s="2"/>
      <c r="G142" s="2"/>
      <c r="H142" s="2"/>
      <c r="I142" s="2"/>
    </row>
    <row r="143" spans="1:9" s="3" customFormat="1" x14ac:dyDescent="0.3">
      <c r="A143" s="2"/>
      <c r="B143" s="2"/>
      <c r="C143" s="7" t="str">
        <f>"答案是： "&amp;IF(H138="A",C139,IF(H138="B",C140,IF(H138="C",C141,IF(H138=("D"),C142,"XXXX"))))</f>
        <v>答案是： (B.)禁航區、限航區之管理人。</v>
      </c>
      <c r="D143" s="2"/>
      <c r="E143" s="2"/>
      <c r="F143" s="2"/>
      <c r="G143" s="2"/>
      <c r="H143" s="2"/>
      <c r="I143" s="2"/>
    </row>
    <row r="144" spans="1:9" s="3" customFormat="1" ht="90" x14ac:dyDescent="0.3">
      <c r="A144" s="2"/>
      <c r="B144" s="2"/>
      <c r="C144" s="7" t="str">
        <f>"說明："&amp;I138</f>
        <v>說明：為了維護高風險關鍵基礎設施或特定管制空域的安全，當無人機非法入侵時，該「禁航區、限航區之管理人」（例如軍事基地指揮官或重要機關管理者）具有法律明文授權，得採取如干擾、攔截等適當措施予以制止或排除。</v>
      </c>
      <c r="D144" s="2"/>
      <c r="E144" s="2"/>
      <c r="F144" s="2"/>
      <c r="G144" s="2"/>
      <c r="H144" s="2"/>
      <c r="I144" s="2"/>
    </row>
    <row r="145" spans="1:9" s="3" customFormat="1" ht="45" x14ac:dyDescent="0.3">
      <c r="A145" s="4" t="str">
        <f>dB題庫!A28</f>
        <v>27</v>
      </c>
      <c r="B145" s="4" t="str">
        <f>dB題庫!B28</f>
        <v>遙控無人機未經同意飛入航空站或飛行場四周之一定距離範圍內者，航空站、飛行場之經營人或管理人得會同何者予以取締？</v>
      </c>
      <c r="C145" s="4" t="str">
        <f t="shared" si="1"/>
        <v>27.遙控無人機未經同意飛入航空站或飛行場四周之一定距離範圍內者，航空站、飛行場之經營人或管理人得會同何者予以取締？</v>
      </c>
      <c r="D145" s="4" t="str">
        <f>dB題庫!C28</f>
        <v>當地里長。</v>
      </c>
      <c r="E145" s="4" t="str">
        <f>dB題庫!D28</f>
        <v>地方派出所。</v>
      </c>
      <c r="F145" s="4" t="str">
        <f>dB題庫!E28</f>
        <v>航空警察局。</v>
      </c>
      <c r="G145" s="4" t="str">
        <f>dB題庫!F28</f>
        <v>交通警察大隊。</v>
      </c>
      <c r="H145" s="4" t="str">
        <f>dB題庫!G28</f>
        <v>C</v>
      </c>
      <c r="I145" s="4" t="str">
        <f>dB題庫!H28</f>
        <v>機場四周之取締攸關國際與國內航線飛安，屬於專業且直接管轄機場秩序的警政單位之職責。因此，航空站經營人或管理人會同執法之法定單位為「航空警察局」（航警局）。</v>
      </c>
    </row>
    <row r="146" spans="1:9" s="3" customFormat="1" x14ac:dyDescent="0.3">
      <c r="A146" s="2" t="s">
        <v>541</v>
      </c>
      <c r="B146" s="1"/>
      <c r="C146" s="7" t="str">
        <f>"(A.)"&amp;D145</f>
        <v>(A.)當地里長。</v>
      </c>
      <c r="D146" s="2"/>
      <c r="E146" s="2"/>
      <c r="F146" s="2"/>
      <c r="G146" s="2"/>
      <c r="H146" s="2"/>
      <c r="I146" s="2"/>
    </row>
    <row r="147" spans="1:9" s="3" customFormat="1" x14ac:dyDescent="0.3">
      <c r="A147" s="2"/>
      <c r="B147" s="1"/>
      <c r="C147" s="7" t="str">
        <f>"(B.)"&amp;E145</f>
        <v>(B.)地方派出所。</v>
      </c>
      <c r="D147" s="2"/>
      <c r="E147" s="2"/>
      <c r="F147" s="2"/>
      <c r="G147" s="2"/>
      <c r="H147" s="2"/>
      <c r="I147" s="2"/>
    </row>
    <row r="148" spans="1:9" s="3" customFormat="1" x14ac:dyDescent="0.3">
      <c r="A148" s="2"/>
      <c r="B148" s="2"/>
      <c r="C148" s="7" t="str">
        <f>"(C.)"&amp;F145</f>
        <v>(C.)航空警察局。</v>
      </c>
      <c r="D148" s="2"/>
      <c r="E148" s="2"/>
      <c r="F148" s="2"/>
      <c r="G148" s="2"/>
      <c r="H148" s="2"/>
      <c r="I148" s="2"/>
    </row>
    <row r="149" spans="1:9" s="3" customFormat="1" x14ac:dyDescent="0.3">
      <c r="A149" s="2"/>
      <c r="B149" s="2"/>
      <c r="C149" s="7" t="str">
        <f>"(D.)"&amp;G145</f>
        <v>(D.)交通警察大隊。</v>
      </c>
      <c r="D149" s="2"/>
      <c r="E149" s="2"/>
      <c r="F149" s="2"/>
      <c r="G149" s="2"/>
      <c r="H149" s="2"/>
      <c r="I149" s="2"/>
    </row>
    <row r="150" spans="1:9" s="3" customFormat="1" x14ac:dyDescent="0.3">
      <c r="A150" s="2"/>
      <c r="B150" s="2"/>
      <c r="C150" s="7" t="str">
        <f>"答案是： "&amp;IF(H145="A",C146,IF(H145="B",C147,IF(H145="C",C148,IF(H145=("D"),C149,"XXXX"))))</f>
        <v>答案是： (C.)航空警察局。</v>
      </c>
      <c r="D150" s="2"/>
      <c r="E150" s="2"/>
      <c r="F150" s="2"/>
      <c r="G150" s="2"/>
      <c r="H150" s="2"/>
      <c r="I150" s="2"/>
    </row>
    <row r="151" spans="1:9" s="3" customFormat="1" ht="60" x14ac:dyDescent="0.3">
      <c r="A151" s="2"/>
      <c r="B151" s="2"/>
      <c r="C151" s="7" t="str">
        <f>"說明："&amp;I145</f>
        <v>說明：機場四周之取締攸關國際與國內航線飛安，屬於專業且直接管轄機場秩序的警政單位之職責。因此，航空站經營人或管理人會同執法之法定單位為「航空警察局」（航警局）。</v>
      </c>
      <c r="D151" s="2"/>
      <c r="E151" s="2"/>
      <c r="F151" s="2"/>
      <c r="G151" s="2"/>
      <c r="H151" s="2"/>
      <c r="I151" s="2"/>
    </row>
    <row r="152" spans="1:9" s="3" customFormat="1" ht="45" x14ac:dyDescent="0.3">
      <c r="A152" s="4" t="str">
        <f>dB題庫!A29</f>
        <v>28</v>
      </c>
      <c r="B152" s="4" t="str">
        <f>dB題庫!B29</f>
        <v>遙控無人機未經同意飛入直轄市、縣(市)政府所公告之活動區域、時間及其他管理事項外者，得由何者進行取締？</v>
      </c>
      <c r="C152" s="4" t="str">
        <f t="shared" si="1"/>
        <v>28.遙控無人機未經同意飛入直轄市、縣(市)政府所公告之活動區域、時間及其他管理事項外者，得由何者進行取締？</v>
      </c>
      <c r="D152" s="4" t="str">
        <f>dB題庫!C29</f>
        <v>直轄市、縣(市)政府。</v>
      </c>
      <c r="E152" s="4" t="str">
        <f>dB題庫!D29</f>
        <v>鄉鎮區公所。</v>
      </c>
      <c r="F152" s="4" t="str">
        <f>dB題庫!E29</f>
        <v>地方派出所。</v>
      </c>
      <c r="G152" s="4" t="str">
        <f>dB題庫!F29</f>
        <v>衛福部。</v>
      </c>
      <c r="H152" s="4" t="str">
        <f>dB題庫!G29</f>
        <v>A</v>
      </c>
      <c r="I152" s="4" t="str">
        <f>dB題庫!H29</f>
        <v>誰公告，誰取締。直轄市、縣（市）政府依公益安全所劃定公告的管理事項，一旦發生違規，其法定執法與取締主體即為該「直轄市、縣（市）政府」（通常會由其指派之警政或交通單位前往現場取締）。</v>
      </c>
    </row>
    <row r="153" spans="1:9" s="3" customFormat="1" x14ac:dyDescent="0.3">
      <c r="A153" s="2" t="s">
        <v>541</v>
      </c>
      <c r="B153" s="1"/>
      <c r="C153" s="7" t="str">
        <f>"(A.)"&amp;D152</f>
        <v>(A.)直轄市、縣(市)政府。</v>
      </c>
      <c r="D153" s="2"/>
      <c r="E153" s="2"/>
      <c r="F153" s="2"/>
      <c r="G153" s="2"/>
      <c r="H153" s="2"/>
      <c r="I153" s="2"/>
    </row>
    <row r="154" spans="1:9" s="3" customFormat="1" x14ac:dyDescent="0.3">
      <c r="A154" s="2"/>
      <c r="B154" s="1"/>
      <c r="C154" s="7" t="str">
        <f>"(B.)"&amp;E152</f>
        <v>(B.)鄉鎮區公所。</v>
      </c>
      <c r="D154" s="2"/>
      <c r="E154" s="2"/>
      <c r="F154" s="2"/>
      <c r="G154" s="2"/>
      <c r="H154" s="2"/>
      <c r="I154" s="2"/>
    </row>
    <row r="155" spans="1:9" s="3" customFormat="1" x14ac:dyDescent="0.3">
      <c r="A155" s="2"/>
      <c r="B155" s="2"/>
      <c r="C155" s="7" t="str">
        <f>"(C.)"&amp;F152</f>
        <v>(C.)地方派出所。</v>
      </c>
      <c r="D155" s="2"/>
      <c r="E155" s="2"/>
      <c r="F155" s="2"/>
      <c r="G155" s="2"/>
      <c r="H155" s="2"/>
      <c r="I155" s="2"/>
    </row>
    <row r="156" spans="1:9" s="3" customFormat="1" x14ac:dyDescent="0.3">
      <c r="A156" s="2"/>
      <c r="B156" s="2"/>
      <c r="C156" s="7" t="str">
        <f>"(D.)"&amp;G152</f>
        <v>(D.)衛福部。</v>
      </c>
      <c r="D156" s="2"/>
      <c r="E156" s="2"/>
      <c r="F156" s="2"/>
      <c r="G156" s="2"/>
      <c r="H156" s="2"/>
      <c r="I156" s="2"/>
    </row>
    <row r="157" spans="1:9" s="3" customFormat="1" x14ac:dyDescent="0.3">
      <c r="A157" s="2"/>
      <c r="B157" s="2"/>
      <c r="C157" s="7" t="str">
        <f>"答案是： "&amp;IF(H152="A",C153,IF(H152="B",C154,IF(H152="C",C155,IF(H152=("D"),C156,"XXXX"))))</f>
        <v>答案是： (A.)直轄市、縣(市)政府。</v>
      </c>
      <c r="D157" s="2"/>
      <c r="E157" s="2"/>
      <c r="F157" s="2"/>
      <c r="G157" s="2"/>
      <c r="H157" s="2"/>
      <c r="I157" s="2"/>
    </row>
    <row r="158" spans="1:9" s="3" customFormat="1" ht="75" x14ac:dyDescent="0.3">
      <c r="A158" s="2"/>
      <c r="B158" s="2"/>
      <c r="C158" s="7" t="str">
        <f>"說明："&amp;I152</f>
        <v>說明：誰公告，誰取締。直轄市、縣（市）政府依公益安全所劃定公告的管理事項，一旦發生違規，其法定執法與取締主體即為該「直轄市、縣（市）政府」（通常會由其指派之警政或交通單位前往現場取締）。</v>
      </c>
      <c r="D158" s="2"/>
      <c r="E158" s="2"/>
      <c r="F158" s="2"/>
      <c r="G158" s="2"/>
      <c r="H158" s="2"/>
      <c r="I158" s="2"/>
    </row>
    <row r="159" spans="1:9" s="3" customFormat="1" ht="45" x14ac:dyDescent="0.3">
      <c r="A159" s="4" t="str">
        <f>dB題庫!A30</f>
        <v>29</v>
      </c>
      <c r="B159" s="4" t="str">
        <f>dB題庫!B30</f>
        <v>從事休閒娛樂用途之遙控無人機活動，其飛航實際高度不得逾距地面或水面多少高度？</v>
      </c>
      <c r="C159" s="4" t="str">
        <f t="shared" si="1"/>
        <v>29.從事休閒娛樂用途之遙控無人機活動，其飛航實際高度不得逾距地面或水面多少高度？</v>
      </c>
      <c r="D159" s="4" t="str">
        <f>dB題庫!C30</f>
        <v>800呎。</v>
      </c>
      <c r="E159" s="4" t="str">
        <f>dB題庫!D30</f>
        <v>400呎。</v>
      </c>
      <c r="F159" s="4" t="str">
        <f>dB題庫!E30</f>
        <v>200呎。</v>
      </c>
      <c r="G159" s="4" t="str">
        <f>dB題庫!F30</f>
        <v>100呎。</v>
      </c>
      <c r="H159" s="4" t="str">
        <f>dB題庫!G30</f>
        <v>B</v>
      </c>
      <c r="I159" s="4" t="str">
        <f>dB題庫!H30</f>
        <v>依據民用航空法規定，為避免與有人航空器最低飛航高度（通常為500呎）發生衝突，遙控無人機在未經特別申請核准下的常態法規绝对限高為距地面或水面「400呎」（約120公尺）。</v>
      </c>
    </row>
    <row r="160" spans="1:9" s="3" customFormat="1" x14ac:dyDescent="0.3">
      <c r="A160" s="2" t="s">
        <v>541</v>
      </c>
      <c r="B160" s="1"/>
      <c r="C160" s="7" t="str">
        <f>"(A.)"&amp;D159</f>
        <v>(A.)800呎。</v>
      </c>
      <c r="D160" s="2"/>
      <c r="E160" s="2"/>
      <c r="F160" s="2"/>
      <c r="G160" s="2"/>
      <c r="H160" s="2"/>
      <c r="I160" s="2"/>
    </row>
    <row r="161" spans="1:9" s="3" customFormat="1" x14ac:dyDescent="0.3">
      <c r="A161" s="2"/>
      <c r="B161" s="1"/>
      <c r="C161" s="7" t="str">
        <f>"(B.)"&amp;E159</f>
        <v>(B.)400呎。</v>
      </c>
      <c r="D161" s="2"/>
      <c r="E161" s="2"/>
      <c r="F161" s="2"/>
      <c r="G161" s="2"/>
      <c r="H161" s="2"/>
      <c r="I161" s="2"/>
    </row>
    <row r="162" spans="1:9" s="3" customFormat="1" x14ac:dyDescent="0.3">
      <c r="A162" s="2"/>
      <c r="B162" s="2"/>
      <c r="C162" s="7" t="str">
        <f>"(C.)"&amp;F159</f>
        <v>(C.)200呎。</v>
      </c>
      <c r="D162" s="2"/>
      <c r="E162" s="2"/>
      <c r="F162" s="2"/>
      <c r="G162" s="2"/>
      <c r="H162" s="2"/>
      <c r="I162" s="2"/>
    </row>
    <row r="163" spans="1:9" s="3" customFormat="1" x14ac:dyDescent="0.3">
      <c r="A163" s="2"/>
      <c r="B163" s="2"/>
      <c r="C163" s="7" t="str">
        <f>"(D.)"&amp;G159</f>
        <v>(D.)100呎。</v>
      </c>
      <c r="D163" s="2"/>
      <c r="E163" s="2"/>
      <c r="F163" s="2"/>
      <c r="G163" s="2"/>
      <c r="H163" s="2"/>
      <c r="I163" s="2"/>
    </row>
    <row r="164" spans="1:9" s="3" customFormat="1" x14ac:dyDescent="0.3">
      <c r="A164" s="2"/>
      <c r="B164" s="2"/>
      <c r="C164" s="7" t="str">
        <f>"答案是： "&amp;IF(H159="A",C160,IF(H159="B",C161,IF(H159="C",C162,IF(H159=("D"),C163,"XXXX"))))</f>
        <v>答案是： (B.)400呎。</v>
      </c>
      <c r="D164" s="2"/>
      <c r="E164" s="2"/>
      <c r="F164" s="2"/>
      <c r="G164" s="2"/>
      <c r="H164" s="2"/>
      <c r="I164" s="2"/>
    </row>
    <row r="165" spans="1:9" s="3" customFormat="1" ht="75" x14ac:dyDescent="0.3">
      <c r="A165" s="2"/>
      <c r="B165" s="2"/>
      <c r="C165" s="7" t="str">
        <f>"說明："&amp;I159</f>
        <v>說明：依據民用航空法規定，為避免與有人航空器最低飛航高度（通常為500呎）發生衝突，遙控無人機在未經特別申請核准下的常態法規绝对限高為距地面或水面「400呎」（約120公尺）。</v>
      </c>
      <c r="D165" s="2"/>
      <c r="E165" s="2"/>
      <c r="F165" s="2"/>
      <c r="G165" s="2"/>
      <c r="H165" s="2"/>
      <c r="I165" s="2"/>
    </row>
    <row r="166" spans="1:9" s="3" customFormat="1" ht="45" x14ac:dyDescent="0.3">
      <c r="A166" s="4" t="str">
        <f>dB題庫!A31</f>
        <v>30</v>
      </c>
      <c r="B166" s="4" t="str">
        <f>dB題庫!B31</f>
        <v>從事遙控無人機飛航活動，非經民航局核准不得執行下列何者行為？</v>
      </c>
      <c r="C166" s="4" t="str">
        <f t="shared" si="1"/>
        <v>30.從事遙控無人機飛航活動，非經民航局核准不得執行下列何者行為？</v>
      </c>
      <c r="D166" s="4" t="str">
        <f>dB題庫!C31</f>
        <v>以信號鏈路進行飛航控制。</v>
      </c>
      <c r="E166" s="4" t="str">
        <f>dB題庫!D31</f>
        <v>以自動駕駛操作。</v>
      </c>
      <c r="F166" s="4" t="str">
        <f>dB題庫!E31</f>
        <v>投擲或噴灑任何物件。</v>
      </c>
      <c r="G166" s="4" t="str">
        <f>dB題庫!F31</f>
        <v>其他經民航局同意之操作。</v>
      </c>
      <c r="H166" s="4" t="str">
        <f>dB題庫!G31</f>
        <v>C</v>
      </c>
      <c r="I166" s="4" t="str">
        <f>dB題庫!H31</f>
        <v>投擲或噴灑物品（如噴灑農藥、投擲空投物）屬於高風險的特殊操作限制，極易因重量突變導致失控或危害地面人員，因此屬於「非經民航局核准，絕對不得執行」之排除項目，故選 (C)。</v>
      </c>
    </row>
    <row r="167" spans="1:9" s="3" customFormat="1" x14ac:dyDescent="0.3">
      <c r="A167" s="2" t="s">
        <v>541</v>
      </c>
      <c r="B167" s="1"/>
      <c r="C167" s="7" t="str">
        <f>"(A.)"&amp;D166</f>
        <v>(A.)以信號鏈路進行飛航控制。</v>
      </c>
      <c r="D167" s="2"/>
      <c r="E167" s="2"/>
      <c r="F167" s="2"/>
      <c r="G167" s="2"/>
      <c r="H167" s="2"/>
      <c r="I167" s="2"/>
    </row>
    <row r="168" spans="1:9" s="3" customFormat="1" x14ac:dyDescent="0.3">
      <c r="A168" s="2"/>
      <c r="B168" s="1"/>
      <c r="C168" s="7" t="str">
        <f>"(B.)"&amp;E166</f>
        <v>(B.)以自動駕駛操作。</v>
      </c>
      <c r="D168" s="2"/>
      <c r="E168" s="2"/>
      <c r="F168" s="2"/>
      <c r="G168" s="2"/>
      <c r="H168" s="2"/>
      <c r="I168" s="2"/>
    </row>
    <row r="169" spans="1:9" s="3" customFormat="1" x14ac:dyDescent="0.3">
      <c r="A169" s="2"/>
      <c r="B169" s="2"/>
      <c r="C169" s="7" t="str">
        <f>"(C.)"&amp;F166</f>
        <v>(C.)投擲或噴灑任何物件。</v>
      </c>
      <c r="D169" s="2"/>
      <c r="E169" s="2"/>
      <c r="F169" s="2"/>
      <c r="G169" s="2"/>
      <c r="H169" s="2"/>
      <c r="I169" s="2"/>
    </row>
    <row r="170" spans="1:9" s="3" customFormat="1" x14ac:dyDescent="0.3">
      <c r="A170" s="2"/>
      <c r="B170" s="2"/>
      <c r="C170" s="7" t="str">
        <f>"(D.)"&amp;G166</f>
        <v>(D.)其他經民航局同意之操作。</v>
      </c>
      <c r="D170" s="2"/>
      <c r="E170" s="2"/>
      <c r="F170" s="2"/>
      <c r="G170" s="2"/>
      <c r="H170" s="2"/>
      <c r="I170" s="2"/>
    </row>
    <row r="171" spans="1:9" s="3" customFormat="1" x14ac:dyDescent="0.3">
      <c r="A171" s="2"/>
      <c r="B171" s="2"/>
      <c r="C171" s="7" t="str">
        <f>"答案是： "&amp;IF(H166="A",C167,IF(H166="B",C168,IF(H166="C",C169,IF(H166=("D"),C170,"XXXX"))))</f>
        <v>答案是： (C.)投擲或噴灑任何物件。</v>
      </c>
      <c r="D171" s="2"/>
      <c r="E171" s="2"/>
      <c r="F171" s="2"/>
      <c r="G171" s="2"/>
      <c r="H171" s="2"/>
      <c r="I171" s="2"/>
    </row>
    <row r="172" spans="1:9" s="3" customFormat="1" ht="75" x14ac:dyDescent="0.3">
      <c r="A172" s="2"/>
      <c r="B172" s="2"/>
      <c r="C172" s="7" t="str">
        <f>"說明："&amp;I166</f>
        <v>說明：投擲或噴灑物品（如噴灑農藥、投擲空投物）屬於高風險的特殊操作限制，極易因重量突變導致失控或危害地面人員，因此屬於「非經民航局核准，絕對不得執行」之排除項目，故選 (C)。</v>
      </c>
      <c r="D172" s="2"/>
      <c r="E172" s="2"/>
      <c r="F172" s="2"/>
      <c r="G172" s="2"/>
      <c r="H172" s="2"/>
      <c r="I172" s="2"/>
    </row>
    <row r="173" spans="1:9" s="3" customFormat="1" ht="45" x14ac:dyDescent="0.3">
      <c r="A173" s="4" t="str">
        <f>dB題庫!A32</f>
        <v>31</v>
      </c>
      <c r="B173" s="4" t="str">
        <f>dB題庫!B32</f>
        <v>從事遙控無人機飛航活動，不得裝載哪種物品？</v>
      </c>
      <c r="C173" s="4" t="str">
        <f t="shared" si="1"/>
        <v>31.從事遙控無人機飛航活動，不得裝載哪種物品？</v>
      </c>
      <c r="D173" s="4" t="str">
        <f>dB題庫!C32</f>
        <v>光學酬載。</v>
      </c>
      <c r="E173" s="4" t="str">
        <f>dB題庫!D32</f>
        <v>飛航所需燃油或電池。</v>
      </c>
      <c r="F173" s="4" t="str">
        <f>dB題庫!E32</f>
        <v>民用航空法所公告之危險物品。</v>
      </c>
      <c r="G173" s="4" t="str">
        <f>dB題庫!F32</f>
        <v>調整重心所需之配重塊。</v>
      </c>
      <c r="H173" s="4" t="str">
        <f>dB題庫!G32</f>
        <v>C</v>
      </c>
      <c r="I173" s="4" t="str">
        <f>dB題庫!H32</f>
        <v>安全第一。無人機嚴禁裝載民用航空法公告之任何「危險物品」（如易燃液體、爆炸物、強酸等），一旦發生墜毀可能釀成巨災。光學酬載（相機）、燃油電池、配重塊則為正常飛行所需，非禁止項目。</v>
      </c>
    </row>
    <row r="174" spans="1:9" s="3" customFormat="1" x14ac:dyDescent="0.3">
      <c r="A174" s="2" t="s">
        <v>541</v>
      </c>
      <c r="B174" s="1"/>
      <c r="C174" s="7" t="str">
        <f>"(A.)"&amp;D173</f>
        <v>(A.)光學酬載。</v>
      </c>
      <c r="D174" s="2"/>
      <c r="E174" s="2"/>
      <c r="F174" s="2"/>
      <c r="G174" s="2"/>
      <c r="H174" s="2"/>
      <c r="I174" s="2"/>
    </row>
    <row r="175" spans="1:9" s="3" customFormat="1" x14ac:dyDescent="0.3">
      <c r="A175" s="2"/>
      <c r="B175" s="1"/>
      <c r="C175" s="7" t="str">
        <f>"(B.)"&amp;E173</f>
        <v>(B.)飛航所需燃油或電池。</v>
      </c>
      <c r="D175" s="2"/>
      <c r="E175" s="2"/>
      <c r="F175" s="2"/>
      <c r="G175" s="2"/>
      <c r="H175" s="2"/>
      <c r="I175" s="2"/>
    </row>
    <row r="176" spans="1:9" s="3" customFormat="1" x14ac:dyDescent="0.3">
      <c r="A176" s="2"/>
      <c r="B176" s="2"/>
      <c r="C176" s="7" t="str">
        <f>"(C.)"&amp;F173</f>
        <v>(C.)民用航空法所公告之危險物品。</v>
      </c>
      <c r="D176" s="2"/>
      <c r="E176" s="2"/>
      <c r="F176" s="2"/>
      <c r="G176" s="2"/>
      <c r="H176" s="2"/>
      <c r="I176" s="2"/>
    </row>
    <row r="177" spans="1:9" s="3" customFormat="1" x14ac:dyDescent="0.3">
      <c r="A177" s="2"/>
      <c r="B177" s="2"/>
      <c r="C177" s="7" t="str">
        <f>"(D.)"&amp;G173</f>
        <v>(D.)調整重心所需之配重塊。</v>
      </c>
      <c r="D177" s="2"/>
      <c r="E177" s="2"/>
      <c r="F177" s="2"/>
      <c r="G177" s="2"/>
      <c r="H177" s="2"/>
      <c r="I177" s="2"/>
    </row>
    <row r="178" spans="1:9" s="3" customFormat="1" x14ac:dyDescent="0.3">
      <c r="A178" s="2"/>
      <c r="B178" s="2"/>
      <c r="C178" s="7" t="str">
        <f>"答案是： "&amp;IF(H173="A",C174,IF(H173="B",C175,IF(H173="C",C176,IF(H173=("D"),C177,"XXXX"))))</f>
        <v>答案是： (C.)民用航空法所公告之危險物品。</v>
      </c>
      <c r="D178" s="2"/>
      <c r="E178" s="2"/>
      <c r="F178" s="2"/>
      <c r="G178" s="2"/>
      <c r="H178" s="2"/>
      <c r="I178" s="2"/>
    </row>
    <row r="179" spans="1:9" s="3" customFormat="1" ht="75" x14ac:dyDescent="0.3">
      <c r="A179" s="2"/>
      <c r="B179" s="2"/>
      <c r="C179" s="7" t="str">
        <f>"說明："&amp;I173</f>
        <v>說明：安全第一。無人機嚴禁裝載民用航空法公告之任何「危險物品」（如易燃液體、爆炸物、強酸等），一旦發生墜毀可能釀成巨災。光學酬載（相機）、燃油電池、配重塊則為正常飛行所需，非禁止項目。</v>
      </c>
      <c r="D179" s="2"/>
      <c r="E179" s="2"/>
      <c r="F179" s="2"/>
      <c r="G179" s="2"/>
      <c r="H179" s="2"/>
      <c r="I179" s="2"/>
    </row>
    <row r="180" spans="1:9" s="3" customFormat="1" ht="45" x14ac:dyDescent="0.3">
      <c r="A180" s="4" t="str">
        <f>dB題庫!A33</f>
        <v>32</v>
      </c>
      <c r="B180" s="4" t="str">
        <f>dB題庫!B33</f>
        <v>哪個機關負責訂定從事遙控無人機飛航活動所應遵守之規範？</v>
      </c>
      <c r="C180" s="4" t="str">
        <f t="shared" si="1"/>
        <v>32.哪個機關負責訂定從事遙控無人機飛航活動所應遵守之規範？</v>
      </c>
      <c r="D180" s="4" t="str">
        <f>dB題庫!C33</f>
        <v>衛福部。</v>
      </c>
      <c r="E180" s="4" t="str">
        <f>dB題庫!D33</f>
        <v>交通部。</v>
      </c>
      <c r="F180" s="4" t="str">
        <f>dB題庫!E33</f>
        <v>內政部。</v>
      </c>
      <c r="G180" s="4" t="str">
        <f>dB題庫!F33</f>
        <v>文化部。</v>
      </c>
      <c r="H180" s="4" t="str">
        <f>dB題庫!G33</f>
        <v>B</v>
      </c>
      <c r="I180" s="4" t="str">
        <f>dB題庫!H33</f>
        <v>遙控無人機之根本母法為《民用航空法》，而民航局之上層中央主管部會即為「交通部」。因此，無人機活動之核心法規（如遙控無人機管理規則）皆是由交通部負責訂定發布。</v>
      </c>
    </row>
    <row r="181" spans="1:9" s="3" customFormat="1" x14ac:dyDescent="0.3">
      <c r="A181" s="2" t="s">
        <v>541</v>
      </c>
      <c r="B181" s="1"/>
      <c r="C181" s="7" t="str">
        <f>"(A.)"&amp;D180</f>
        <v>(A.)衛福部。</v>
      </c>
      <c r="D181" s="2"/>
      <c r="E181" s="2"/>
      <c r="F181" s="2"/>
      <c r="G181" s="2"/>
      <c r="H181" s="2"/>
      <c r="I181" s="2"/>
    </row>
    <row r="182" spans="1:9" s="3" customFormat="1" x14ac:dyDescent="0.3">
      <c r="A182" s="2"/>
      <c r="B182" s="1"/>
      <c r="C182" s="7" t="str">
        <f>"(B.)"&amp;E180</f>
        <v>(B.)交通部。</v>
      </c>
      <c r="D182" s="2"/>
      <c r="E182" s="2"/>
      <c r="F182" s="2"/>
      <c r="G182" s="2"/>
      <c r="H182" s="2"/>
      <c r="I182" s="2"/>
    </row>
    <row r="183" spans="1:9" s="3" customFormat="1" x14ac:dyDescent="0.3">
      <c r="A183" s="2"/>
      <c r="B183" s="2"/>
      <c r="C183" s="7" t="str">
        <f>"(C.)"&amp;F180</f>
        <v>(C.)內政部。</v>
      </c>
      <c r="D183" s="2"/>
      <c r="E183" s="2"/>
      <c r="F183" s="2"/>
      <c r="G183" s="2"/>
      <c r="H183" s="2"/>
      <c r="I183" s="2"/>
    </row>
    <row r="184" spans="1:9" s="3" customFormat="1" x14ac:dyDescent="0.3">
      <c r="A184" s="2"/>
      <c r="B184" s="2"/>
      <c r="C184" s="7" t="str">
        <f>"(D.)"&amp;G180</f>
        <v>(D.)文化部。</v>
      </c>
      <c r="D184" s="2"/>
      <c r="E184" s="2"/>
      <c r="F184" s="2"/>
      <c r="G184" s="2"/>
      <c r="H184" s="2"/>
      <c r="I184" s="2"/>
    </row>
    <row r="185" spans="1:9" s="3" customFormat="1" x14ac:dyDescent="0.3">
      <c r="A185" s="2"/>
      <c r="B185" s="2"/>
      <c r="C185" s="7" t="str">
        <f>"答案是： "&amp;IF(H180="A",C181,IF(H180="B",C182,IF(H180="C",C183,IF(H180=("D"),C184,"XXXX"))))</f>
        <v>答案是： (B.)交通部。</v>
      </c>
      <c r="D185" s="2"/>
      <c r="E185" s="2"/>
      <c r="F185" s="2"/>
      <c r="G185" s="2"/>
      <c r="H185" s="2"/>
      <c r="I185" s="2"/>
    </row>
    <row r="186" spans="1:9" s="3" customFormat="1" ht="75" x14ac:dyDescent="0.3">
      <c r="A186" s="2"/>
      <c r="B186" s="2"/>
      <c r="C186" s="7" t="str">
        <f>"說明："&amp;I180</f>
        <v>說明：遙控無人機之根本母法為《民用航空法》，而民航局之上層中央主管部會即為「交通部」。因此，無人機活動之核心法規（如遙控無人機管理規則）皆是由交通部負責訂定發布。</v>
      </c>
      <c r="D186" s="2"/>
      <c r="E186" s="2"/>
      <c r="F186" s="2"/>
      <c r="G186" s="2"/>
      <c r="H186" s="2"/>
      <c r="I186" s="2"/>
    </row>
    <row r="187" spans="1:9" s="3" customFormat="1" ht="75" x14ac:dyDescent="0.3">
      <c r="A187" s="4" t="str">
        <f>dB題庫!A34</f>
        <v>33</v>
      </c>
      <c r="B187" s="4" t="str">
        <f>dB題庫!B34</f>
        <v>從事休閒娛樂用途之遙控無人機不得於下列哪個區域進行飛航活動？</v>
      </c>
      <c r="C187" s="4" t="str">
        <f t="shared" si="1"/>
        <v>33.從事休閒娛樂用途之遙控無人機不得於下列哪個區域進行飛航活動？</v>
      </c>
      <c r="D187" s="4" t="str">
        <f>dB題庫!C34</f>
        <v>人群聚集或室外集會遊行上空。</v>
      </c>
      <c r="E187" s="4" t="str">
        <f>dB題庫!D34</f>
        <v>經地方政府同意開放無人機活動之公園綠地。</v>
      </c>
      <c r="F187" s="4" t="str">
        <f>dB題庫!E34</f>
        <v>經地方政府同意開放無人機活動之人煙稀少區。</v>
      </c>
      <c r="G187" s="4" t="str">
        <f>dB題庫!F34</f>
        <v>經地方政府同意開放無人機活動之河灘地。</v>
      </c>
      <c r="H187" s="4" t="str">
        <f>dB題庫!G34</f>
        <v>A</v>
      </c>
      <c r="I187" s="4" t="str">
        <f>dB題庫!H34</f>
        <v>個人休閒娛樂飛行受法律嚴格限制，絕不允許於「人群聚集或室外集會遊行上空」飛行，因為一旦墜落會造成嚴重群體傷亡。其餘選項皆為地方政府公告同意之開放區。</v>
      </c>
    </row>
    <row r="188" spans="1:9" s="3" customFormat="1" x14ac:dyDescent="0.3">
      <c r="A188" s="2" t="s">
        <v>541</v>
      </c>
      <c r="B188" s="1"/>
      <c r="C188" s="7" t="str">
        <f>"(A.)"&amp;D187</f>
        <v>(A.)人群聚集或室外集會遊行上空。</v>
      </c>
      <c r="D188" s="2"/>
      <c r="E188" s="2"/>
      <c r="F188" s="2"/>
      <c r="G188" s="2"/>
      <c r="H188" s="2"/>
      <c r="I188" s="2"/>
    </row>
    <row r="189" spans="1:9" s="3" customFormat="1" ht="30" x14ac:dyDescent="0.3">
      <c r="A189" s="2"/>
      <c r="B189" s="1"/>
      <c r="C189" s="7" t="str">
        <f>"(B.)"&amp;E187</f>
        <v>(B.)經地方政府同意開放無人機活動之公園綠地。</v>
      </c>
      <c r="D189" s="2"/>
      <c r="E189" s="2"/>
      <c r="F189" s="2"/>
      <c r="G189" s="2"/>
      <c r="H189" s="2"/>
      <c r="I189" s="2"/>
    </row>
    <row r="190" spans="1:9" s="3" customFormat="1" ht="30" x14ac:dyDescent="0.3">
      <c r="A190" s="2"/>
      <c r="B190" s="2"/>
      <c r="C190" s="7" t="str">
        <f>"(C.)"&amp;F187</f>
        <v>(C.)經地方政府同意開放無人機活動之人煙稀少區。</v>
      </c>
      <c r="D190" s="2"/>
      <c r="E190" s="2"/>
      <c r="F190" s="2"/>
      <c r="G190" s="2"/>
      <c r="H190" s="2"/>
      <c r="I190" s="2"/>
    </row>
    <row r="191" spans="1:9" s="3" customFormat="1" x14ac:dyDescent="0.3">
      <c r="A191" s="2"/>
      <c r="B191" s="2"/>
      <c r="C191" s="7" t="str">
        <f>"(D.)"&amp;G187</f>
        <v>(D.)經地方政府同意開放無人機活動之河灘地。</v>
      </c>
      <c r="D191" s="2"/>
      <c r="E191" s="2"/>
      <c r="F191" s="2"/>
      <c r="G191" s="2"/>
      <c r="H191" s="2"/>
      <c r="I191" s="2"/>
    </row>
    <row r="192" spans="1:9" s="3" customFormat="1" x14ac:dyDescent="0.3">
      <c r="A192" s="2"/>
      <c r="B192" s="2"/>
      <c r="C192" s="7" t="str">
        <f>"答案是： "&amp;IF(H187="A",C188,IF(H187="B",C189,IF(H187="C",C190,IF(H187=("D"),C191,"XXXX"))))</f>
        <v>答案是： (A.)人群聚集或室外集會遊行上空。</v>
      </c>
      <c r="D192" s="2"/>
      <c r="E192" s="2"/>
      <c r="F192" s="2"/>
      <c r="G192" s="2"/>
      <c r="H192" s="2"/>
      <c r="I192" s="2"/>
    </row>
    <row r="193" spans="1:9" s="3" customFormat="1" ht="60" x14ac:dyDescent="0.3">
      <c r="A193" s="2"/>
      <c r="B193" s="2"/>
      <c r="C193" s="7" t="str">
        <f>"說明："&amp;I187</f>
        <v>說明：個人休閒娛樂飛行受法律嚴格限制，絕不允許於「人群聚集或室外集會遊行上空」飛行，因為一旦墜落會造成嚴重群體傷亡。其餘選項皆為地方政府公告同意之開放區。</v>
      </c>
      <c r="D193" s="2"/>
      <c r="E193" s="2"/>
      <c r="F193" s="2"/>
      <c r="G193" s="2"/>
      <c r="H193" s="2"/>
      <c r="I193" s="2"/>
    </row>
    <row r="194" spans="1:9" s="3" customFormat="1" ht="45" x14ac:dyDescent="0.3">
      <c r="A194" s="4" t="str">
        <f>dB題庫!A35</f>
        <v>34</v>
      </c>
      <c r="B194" s="4" t="str">
        <f>dB題庫!B35</f>
        <v>從事休閒娛樂用途之遙控無人機不得於下列哪個時間進行飛航活動？</v>
      </c>
      <c r="C194" s="4" t="str">
        <f t="shared" si="1"/>
        <v>34.從事休閒娛樂用途之遙控無人機不得於下列哪個時間進行飛航活動？</v>
      </c>
      <c r="D194" s="4" t="str">
        <f>dB題庫!C35</f>
        <v>日落後至日出前。</v>
      </c>
      <c r="E194" s="4" t="str">
        <f>dB題庫!D35</f>
        <v>日出後。</v>
      </c>
      <c r="F194" s="4" t="str">
        <f>dB題庫!E35</f>
        <v>正中午。</v>
      </c>
      <c r="G194" s="4" t="str">
        <f>dB題庫!F35</f>
        <v>無特別規定。</v>
      </c>
      <c r="H194" s="4" t="str">
        <f>dB題庫!G35</f>
        <v>A</v>
      </c>
      <c r="I194" s="4" t="str">
        <f>dB題庫!H35</f>
        <v>休閒娛樂用途之無人機飛行必須維持在目視視距內，夜間視線極差、難以辨識周遭障礙物與機身姿態。因此，法規規定夜間（即「日落後至日出前」）禁止進行休閒娛樂飛航。</v>
      </c>
    </row>
    <row r="195" spans="1:9" s="3" customFormat="1" x14ac:dyDescent="0.3">
      <c r="A195" s="2" t="s">
        <v>541</v>
      </c>
      <c r="B195" s="1"/>
      <c r="C195" s="7" t="str">
        <f>"(A.)"&amp;D194</f>
        <v>(A.)日落後至日出前。</v>
      </c>
      <c r="D195" s="2"/>
      <c r="E195" s="2"/>
      <c r="F195" s="2"/>
      <c r="G195" s="2"/>
      <c r="H195" s="2"/>
      <c r="I195" s="2"/>
    </row>
    <row r="196" spans="1:9" s="3" customFormat="1" x14ac:dyDescent="0.3">
      <c r="A196" s="2"/>
      <c r="B196" s="1"/>
      <c r="C196" s="7" t="str">
        <f>"(B.)"&amp;E194</f>
        <v>(B.)日出後。</v>
      </c>
      <c r="D196" s="2"/>
      <c r="E196" s="2"/>
      <c r="F196" s="2"/>
      <c r="G196" s="2"/>
      <c r="H196" s="2"/>
      <c r="I196" s="2"/>
    </row>
    <row r="197" spans="1:9" s="3" customFormat="1" x14ac:dyDescent="0.3">
      <c r="A197" s="2"/>
      <c r="B197" s="2"/>
      <c r="C197" s="7" t="str">
        <f>"(C.)"&amp;F194</f>
        <v>(C.)正中午。</v>
      </c>
      <c r="D197" s="2"/>
      <c r="E197" s="2"/>
      <c r="F197" s="2"/>
      <c r="G197" s="2"/>
      <c r="H197" s="2"/>
      <c r="I197" s="2"/>
    </row>
    <row r="198" spans="1:9" s="3" customFormat="1" x14ac:dyDescent="0.3">
      <c r="A198" s="2"/>
      <c r="B198" s="2"/>
      <c r="C198" s="7" t="str">
        <f>"(D.)"&amp;G194</f>
        <v>(D.)無特別規定。</v>
      </c>
      <c r="D198" s="2"/>
      <c r="E198" s="2"/>
      <c r="F198" s="2"/>
      <c r="G198" s="2"/>
      <c r="H198" s="2"/>
      <c r="I198" s="2"/>
    </row>
    <row r="199" spans="1:9" s="3" customFormat="1" x14ac:dyDescent="0.3">
      <c r="A199" s="2"/>
      <c r="B199" s="2"/>
      <c r="C199" s="7" t="str">
        <f>"答案是： "&amp;IF(H194="A",C195,IF(H194="B",C196,IF(H194="C",C197,IF(H194=("D"),C198,"XXXX"))))</f>
        <v>答案是： (A.)日落後至日出前。</v>
      </c>
      <c r="D199" s="2"/>
      <c r="E199" s="2"/>
      <c r="F199" s="2"/>
      <c r="G199" s="2"/>
      <c r="H199" s="2"/>
      <c r="I199" s="2"/>
    </row>
    <row r="200" spans="1:9" s="3" customFormat="1" ht="75" x14ac:dyDescent="0.3">
      <c r="A200" s="2"/>
      <c r="B200" s="2"/>
      <c r="C200" s="7" t="str">
        <f>"說明："&amp;I194</f>
        <v>說明：休閒娛樂用途之無人機飛行必須維持在目視視距內，夜間視線極差、難以辨識周遭障礙物與機身姿態。因此，法規規定夜間（即「日落後至日出前」）禁止進行休閒娛樂飛航。</v>
      </c>
      <c r="D200" s="2"/>
      <c r="E200" s="2"/>
      <c r="F200" s="2"/>
      <c r="G200" s="2"/>
      <c r="H200" s="2"/>
      <c r="I200" s="2"/>
    </row>
    <row r="201" spans="1:9" s="3" customFormat="1" ht="45" x14ac:dyDescent="0.3">
      <c r="A201" s="4" t="str">
        <f>dB題庫!A36</f>
        <v>35</v>
      </c>
      <c r="B201" s="4" t="str">
        <f>dB題庫!B36</f>
        <v>操作人於從事休閒娛樂用途之遙控無人機飛航活動時，最多得同時控制幾架遙控無人機？</v>
      </c>
      <c r="C201" s="4" t="str">
        <f t="shared" si="1"/>
        <v>35.操作人於從事休閒娛樂用途之遙控無人機飛航活動時，最多得同時控制幾架遙控無人機？</v>
      </c>
      <c r="D201" s="4" t="str">
        <f>dB題庫!C36</f>
        <v>1架。</v>
      </c>
      <c r="E201" s="4" t="str">
        <f>dB題庫!D36</f>
        <v>2架。</v>
      </c>
      <c r="F201" s="4" t="str">
        <f>dB題庫!E36</f>
        <v>5架。</v>
      </c>
      <c r="G201" s="4" t="str">
        <f>dB題庫!F36</f>
        <v>10架以上。</v>
      </c>
      <c r="H201" s="4" t="str">
        <f>dB題庫!G36</f>
        <v>A</v>
      </c>
      <c r="I201" s="4" t="str">
        <f>dB題庫!H36</f>
        <v>個人目視範圍與反應速度有限，為確保徹底掌握飛行狀況，休閒娛樂飛行在任何時間都「最多只能同時控制1架」遙控無人機。多機群飛（如無人機燈光秀）只有法人單位經向民航局依程序申請核准後方可執行。</v>
      </c>
    </row>
    <row r="202" spans="1:9" s="3" customFormat="1" x14ac:dyDescent="0.3">
      <c r="A202" s="2" t="s">
        <v>541</v>
      </c>
      <c r="B202" s="1"/>
      <c r="C202" s="7" t="str">
        <f>"(A.)"&amp;D201</f>
        <v>(A.)1架。</v>
      </c>
      <c r="D202" s="2"/>
      <c r="E202" s="2"/>
      <c r="F202" s="2"/>
      <c r="G202" s="2"/>
      <c r="H202" s="2"/>
      <c r="I202" s="2"/>
    </row>
    <row r="203" spans="1:9" s="3" customFormat="1" x14ac:dyDescent="0.3">
      <c r="A203" s="2"/>
      <c r="B203" s="1"/>
      <c r="C203" s="7" t="str">
        <f>"(B.)"&amp;E201</f>
        <v>(B.)2架。</v>
      </c>
      <c r="D203" s="2"/>
      <c r="E203" s="2"/>
      <c r="F203" s="2"/>
      <c r="G203" s="2"/>
      <c r="H203" s="2"/>
      <c r="I203" s="2"/>
    </row>
    <row r="204" spans="1:9" s="3" customFormat="1" x14ac:dyDescent="0.3">
      <c r="A204" s="2"/>
      <c r="B204" s="2"/>
      <c r="C204" s="7" t="str">
        <f>"(C.)"&amp;F201</f>
        <v>(C.)5架。</v>
      </c>
      <c r="D204" s="2"/>
      <c r="E204" s="2"/>
      <c r="F204" s="2"/>
      <c r="G204" s="2"/>
      <c r="H204" s="2"/>
      <c r="I204" s="2"/>
    </row>
    <row r="205" spans="1:9" s="3" customFormat="1" x14ac:dyDescent="0.3">
      <c r="A205" s="2"/>
      <c r="B205" s="2"/>
      <c r="C205" s="7" t="str">
        <f>"(D.)"&amp;G201</f>
        <v>(D.)10架以上。</v>
      </c>
      <c r="D205" s="2"/>
      <c r="E205" s="2"/>
      <c r="F205" s="2"/>
      <c r="G205" s="2"/>
      <c r="H205" s="2"/>
      <c r="I205" s="2"/>
    </row>
    <row r="206" spans="1:9" s="3" customFormat="1" x14ac:dyDescent="0.3">
      <c r="A206" s="2"/>
      <c r="B206" s="2"/>
      <c r="C206" s="7" t="str">
        <f>"答案是： "&amp;IF(H201="A",C202,IF(H201="B",C203,IF(H201="C",C204,IF(H201=("D"),C205,"XXXX"))))</f>
        <v>答案是： (A.)1架。</v>
      </c>
      <c r="D206" s="2"/>
      <c r="E206" s="2"/>
      <c r="F206" s="2"/>
      <c r="G206" s="2"/>
      <c r="H206" s="2"/>
      <c r="I206" s="2"/>
    </row>
    <row r="207" spans="1:9" s="3" customFormat="1" ht="75" x14ac:dyDescent="0.3">
      <c r="A207" s="2"/>
      <c r="B207" s="2"/>
      <c r="C207" s="7" t="str">
        <f>"說明："&amp;I201</f>
        <v>說明：個人目視範圍與反應速度有限，為確保徹底掌握飛行狀況，休閒娛樂飛行在任何時間都「最多只能同時控制1架」遙控無人機。多機群飛（如無人機燈光秀）只有法人單位經向民航局依程序申請核准後方可執行。</v>
      </c>
      <c r="D207" s="2"/>
      <c r="E207" s="2"/>
      <c r="F207" s="2"/>
      <c r="G207" s="2"/>
      <c r="H207" s="2"/>
      <c r="I207" s="2"/>
    </row>
    <row r="208" spans="1:9" s="3" customFormat="1" ht="45" x14ac:dyDescent="0.3">
      <c r="A208" s="4" t="str">
        <f>dB題庫!A37</f>
        <v>36</v>
      </c>
      <c r="B208" s="4" t="str">
        <f>dB題庫!B37</f>
        <v>操作人於從事遙控無人機飛航活動期間，應留意下列何者？</v>
      </c>
      <c r="C208" s="4" t="str">
        <f t="shared" si="1"/>
        <v>36.操作人於從事遙控無人機飛航活動期間，應留意下列何者？</v>
      </c>
      <c r="D208" s="4" t="str">
        <f>dB題庫!C37</f>
        <v>遙控無人機之販售包裝。</v>
      </c>
      <c r="E208" s="4" t="str">
        <f>dB題庫!D37</f>
        <v>遙控無人機之外觀造型。</v>
      </c>
      <c r="F208" s="4" t="str">
        <f>dB題庫!E37</f>
        <v>遙控無人機飛航及其周遭狀況。</v>
      </c>
      <c r="G208" s="4" t="str">
        <f>dB題庫!F37</f>
        <v>以上皆非。</v>
      </c>
      <c r="H208" s="4" t="str">
        <f>dB題庫!G37</f>
        <v>C</v>
      </c>
      <c r="I208" s="4" t="str">
        <f>dB題庫!H37</f>
        <v>飛行時最重要的就是維持情境警覺（Situation Awareness）。操作人必須時刻全神貫注於「遙控無人機本身的飛航姿態、高度、電量」以及「周遭是否有突發的障礙物或直升機」等突發安全狀況。</v>
      </c>
    </row>
    <row r="209" spans="1:9" s="3" customFormat="1" x14ac:dyDescent="0.3">
      <c r="A209" s="2" t="s">
        <v>541</v>
      </c>
      <c r="B209" s="1"/>
      <c r="C209" s="7" t="str">
        <f>"(A.)"&amp;D208</f>
        <v>(A.)遙控無人機之販售包裝。</v>
      </c>
      <c r="D209" s="2"/>
      <c r="E209" s="2"/>
      <c r="F209" s="2"/>
      <c r="G209" s="2"/>
      <c r="H209" s="2"/>
      <c r="I209" s="2"/>
    </row>
    <row r="210" spans="1:9" s="3" customFormat="1" x14ac:dyDescent="0.3">
      <c r="A210" s="2"/>
      <c r="B210" s="1"/>
      <c r="C210" s="7" t="str">
        <f>"(B.)"&amp;E208</f>
        <v>(B.)遙控無人機之外觀造型。</v>
      </c>
      <c r="D210" s="2"/>
      <c r="E210" s="2"/>
      <c r="F210" s="2"/>
      <c r="G210" s="2"/>
      <c r="H210" s="2"/>
      <c r="I210" s="2"/>
    </row>
    <row r="211" spans="1:9" s="3" customFormat="1" x14ac:dyDescent="0.3">
      <c r="A211" s="2"/>
      <c r="B211" s="2"/>
      <c r="C211" s="7" t="str">
        <f>"(C.)"&amp;F208</f>
        <v>(C.)遙控無人機飛航及其周遭狀況。</v>
      </c>
      <c r="D211" s="2"/>
      <c r="E211" s="2"/>
      <c r="F211" s="2"/>
      <c r="G211" s="2"/>
      <c r="H211" s="2"/>
      <c r="I211" s="2"/>
    </row>
    <row r="212" spans="1:9" s="3" customFormat="1" x14ac:dyDescent="0.3">
      <c r="A212" s="2"/>
      <c r="B212" s="2"/>
      <c r="C212" s="7" t="str">
        <f>"(D.)"&amp;G208</f>
        <v>(D.)以上皆非。</v>
      </c>
      <c r="D212" s="2"/>
      <c r="E212" s="2"/>
      <c r="F212" s="2"/>
      <c r="G212" s="2"/>
      <c r="H212" s="2"/>
      <c r="I212" s="2"/>
    </row>
    <row r="213" spans="1:9" s="3" customFormat="1" x14ac:dyDescent="0.3">
      <c r="A213" s="2"/>
      <c r="B213" s="2"/>
      <c r="C213" s="7" t="str">
        <f>"答案是： "&amp;IF(H208="A",C209,IF(H208="B",C210,IF(H208="C",C211,IF(H208=("D"),C212,"XXXX"))))</f>
        <v>答案是： (C.)遙控無人機飛航及其周遭狀況。</v>
      </c>
      <c r="D213" s="2"/>
      <c r="E213" s="2"/>
      <c r="F213" s="2"/>
      <c r="G213" s="2"/>
      <c r="H213" s="2"/>
      <c r="I213" s="2"/>
    </row>
    <row r="214" spans="1:9" s="3" customFormat="1" ht="75" x14ac:dyDescent="0.3">
      <c r="A214" s="2"/>
      <c r="B214" s="2"/>
      <c r="C214" s="7" t="str">
        <f>"說明："&amp;I208</f>
        <v>說明：飛行時最重要的就是維持情境警覺（Situation Awareness）。操作人必須時刻全神貫注於「遙控無人機本身的飛航姿態、高度、電量」以及「周遭是否有突發的障礙物或直升機」等突發安全狀況。</v>
      </c>
      <c r="D214" s="2"/>
      <c r="E214" s="2"/>
      <c r="F214" s="2"/>
      <c r="G214" s="2"/>
      <c r="H214" s="2"/>
      <c r="I214" s="2"/>
    </row>
    <row r="215" spans="1:9" s="3" customFormat="1" ht="45" x14ac:dyDescent="0.3">
      <c r="A215" s="4" t="str">
        <f>dB題庫!A38</f>
        <v>37</v>
      </c>
      <c r="B215" s="4" t="str">
        <f>dB題庫!B38</f>
        <v>從事遙控無人機飛航活動時，應防止其與何者之接近或碰撞？</v>
      </c>
      <c r="C215" s="4" t="str">
        <f t="shared" si="1"/>
        <v>37.從事遙控無人機飛航活動時，應防止其與何者之接近或碰撞？</v>
      </c>
      <c r="D215" s="4" t="str">
        <f>dB題庫!C38</f>
        <v>其他航空器。</v>
      </c>
      <c r="E215" s="4" t="str">
        <f>dB題庫!D38</f>
        <v>建築物。</v>
      </c>
      <c r="F215" s="4" t="str">
        <f>dB題庫!E38</f>
        <v>人群。</v>
      </c>
      <c r="G215" s="4" t="str">
        <f>dB題庫!F38</f>
        <v>以上皆是。</v>
      </c>
      <c r="H215" s="4" t="str">
        <f>dB題庫!G38</f>
        <v>D</v>
      </c>
      <c r="I215" s="4" t="str">
        <f>dB題庫!H38</f>
        <v>避讓義務是操作人的基本責任。飛行過程中，無人機必須主動採取安全迴避，防止與空中的其他有人/無人「航空器」、地面的「建築物」及周遭的「人群」發生任何接近或碰撞事故。</v>
      </c>
    </row>
    <row r="216" spans="1:9" s="3" customFormat="1" x14ac:dyDescent="0.3">
      <c r="A216" s="2" t="s">
        <v>541</v>
      </c>
      <c r="B216" s="1"/>
      <c r="C216" s="7" t="str">
        <f>"(A.)"&amp;D215</f>
        <v>(A.)其他航空器。</v>
      </c>
      <c r="D216" s="2"/>
      <c r="E216" s="2"/>
      <c r="F216" s="2"/>
      <c r="G216" s="2"/>
      <c r="H216" s="2"/>
      <c r="I216" s="2"/>
    </row>
    <row r="217" spans="1:9" s="3" customFormat="1" x14ac:dyDescent="0.3">
      <c r="A217" s="2"/>
      <c r="B217" s="1"/>
      <c r="C217" s="7" t="str">
        <f>"(B.)"&amp;E215</f>
        <v>(B.)建築物。</v>
      </c>
      <c r="D217" s="2"/>
      <c r="E217" s="2"/>
      <c r="F217" s="2"/>
      <c r="G217" s="2"/>
      <c r="H217" s="2"/>
      <c r="I217" s="2"/>
    </row>
    <row r="218" spans="1:9" s="3" customFormat="1" x14ac:dyDescent="0.3">
      <c r="A218" s="2"/>
      <c r="B218" s="2"/>
      <c r="C218" s="7" t="str">
        <f>"(C.)"&amp;F215</f>
        <v>(C.)人群。</v>
      </c>
      <c r="D218" s="2"/>
      <c r="E218" s="2"/>
      <c r="F218" s="2"/>
      <c r="G218" s="2"/>
      <c r="H218" s="2"/>
      <c r="I218" s="2"/>
    </row>
    <row r="219" spans="1:9" s="3" customFormat="1" x14ac:dyDescent="0.3">
      <c r="A219" s="2"/>
      <c r="B219" s="2"/>
      <c r="C219" s="7" t="str">
        <f>"(D.)"&amp;G215</f>
        <v>(D.)以上皆是。</v>
      </c>
      <c r="D219" s="2"/>
      <c r="E219" s="2"/>
      <c r="F219" s="2"/>
      <c r="G219" s="2"/>
      <c r="H219" s="2"/>
      <c r="I219" s="2"/>
    </row>
    <row r="220" spans="1:9" s="3" customFormat="1" x14ac:dyDescent="0.3">
      <c r="A220" s="2"/>
      <c r="B220" s="2"/>
      <c r="C220" s="7" t="str">
        <f>"答案是： "&amp;IF(H215="A",C216,IF(H215="B",C217,IF(H215="C",C218,IF(H215=("D"),C219,"XXXX"))))</f>
        <v>答案是： (D.)以上皆是。</v>
      </c>
      <c r="D220" s="2"/>
      <c r="E220" s="2"/>
      <c r="F220" s="2"/>
      <c r="G220" s="2"/>
      <c r="H220" s="2"/>
      <c r="I220" s="2"/>
    </row>
    <row r="221" spans="1:9" s="3" customFormat="1" ht="75" x14ac:dyDescent="0.3">
      <c r="A221" s="2"/>
      <c r="B221" s="2"/>
      <c r="C221" s="7" t="str">
        <f>"說明："&amp;I215</f>
        <v>說明：避讓義務是操作人的基本責任。飛行過程中，無人機必須主動採取安全迴避，防止與空中的其他有人/無人「航空器」、地面的「建築物」及周遭的「人群」發生任何接近或碰撞事故。</v>
      </c>
      <c r="D221" s="2"/>
      <c r="E221" s="2"/>
      <c r="F221" s="2"/>
      <c r="G221" s="2"/>
      <c r="H221" s="2"/>
      <c r="I221" s="2"/>
    </row>
    <row r="222" spans="1:9" s="3" customFormat="1" ht="45" x14ac:dyDescent="0.3">
      <c r="A222" s="4" t="str">
        <f>dB題庫!A39</f>
        <v>38</v>
      </c>
      <c r="B222" s="4" t="str">
        <f>dB題庫!B39</f>
        <v>政府機關(構)、學校或法人欲執行遙控無人機法規所訂之操作限制者，得檢附相關文書並向下列何者申請核准後為之？</v>
      </c>
      <c r="C222" s="4" t="str">
        <f t="shared" si="1"/>
        <v>38.政府機關(構)、學校或法人欲執行遙控無人機法規所訂之操作限制者，得檢附相關文書並向下列何者申請核准後為之？</v>
      </c>
      <c r="D222" s="4" t="str">
        <f>dB題庫!C39</f>
        <v>直轄市、縣(市)政府。</v>
      </c>
      <c r="E222" s="4" t="str">
        <f>dB題庫!D39</f>
        <v>民航局。</v>
      </c>
      <c r="F222" s="4" t="str">
        <f>dB題庫!E39</f>
        <v>警察機關。</v>
      </c>
      <c r="G222" s="4" t="str">
        <f>dB題庫!F39</f>
        <v>衛福部。</v>
      </c>
      <c r="H222" s="4" t="str">
        <f>dB題庫!G39</f>
        <v>B</v>
      </c>
      <c r="I222" s="4" t="str">
        <f>dB題庫!H39</f>
        <v>排除法規操作限制（例如：夜間飛行、400呎以上飛行、裝載物件或群飛等特殊項目），涉及整體空域秩序之豁免，一律應向中央民航主管機關「民航局」提交作業計畫書並經核准後始得實施。</v>
      </c>
    </row>
    <row r="223" spans="1:9" s="3" customFormat="1" x14ac:dyDescent="0.3">
      <c r="A223" s="2" t="s">
        <v>541</v>
      </c>
      <c r="B223" s="1"/>
      <c r="C223" s="7" t="str">
        <f>"(A.)"&amp;D222</f>
        <v>(A.)直轄市、縣(市)政府。</v>
      </c>
      <c r="D223" s="2"/>
      <c r="E223" s="2"/>
      <c r="F223" s="2"/>
      <c r="G223" s="2"/>
      <c r="H223" s="2"/>
      <c r="I223" s="2"/>
    </row>
    <row r="224" spans="1:9" s="3" customFormat="1" x14ac:dyDescent="0.3">
      <c r="A224" s="2"/>
      <c r="B224" s="1"/>
      <c r="C224" s="7" t="str">
        <f>"(B.)"&amp;E222</f>
        <v>(B.)民航局。</v>
      </c>
      <c r="D224" s="2"/>
      <c r="E224" s="2"/>
      <c r="F224" s="2"/>
      <c r="G224" s="2"/>
      <c r="H224" s="2"/>
      <c r="I224" s="2"/>
    </row>
    <row r="225" spans="1:9" s="3" customFormat="1" x14ac:dyDescent="0.3">
      <c r="A225" s="2"/>
      <c r="B225" s="2"/>
      <c r="C225" s="7" t="str">
        <f>"(C.)"&amp;F222</f>
        <v>(C.)警察機關。</v>
      </c>
      <c r="D225" s="2"/>
      <c r="E225" s="2"/>
      <c r="F225" s="2"/>
      <c r="G225" s="2"/>
      <c r="H225" s="2"/>
      <c r="I225" s="2"/>
    </row>
    <row r="226" spans="1:9" s="3" customFormat="1" x14ac:dyDescent="0.3">
      <c r="A226" s="2"/>
      <c r="B226" s="2"/>
      <c r="C226" s="7" t="str">
        <f>"(D.)"&amp;G222</f>
        <v>(D.)衛福部。</v>
      </c>
      <c r="D226" s="2"/>
      <c r="E226" s="2"/>
      <c r="F226" s="2"/>
      <c r="G226" s="2"/>
      <c r="H226" s="2"/>
      <c r="I226" s="2"/>
    </row>
    <row r="227" spans="1:9" s="3" customFormat="1" x14ac:dyDescent="0.3">
      <c r="A227" s="2"/>
      <c r="B227" s="2"/>
      <c r="C227" s="7" t="str">
        <f>"答案是： "&amp;IF(H222="A",C223,IF(H222="B",C224,IF(H222="C",C225,IF(H222=("D"),C226,"XXXX"))))</f>
        <v>答案是： (B.)民航局。</v>
      </c>
      <c r="D227" s="2"/>
      <c r="E227" s="2"/>
      <c r="F227" s="2"/>
      <c r="G227" s="2"/>
      <c r="H227" s="2"/>
      <c r="I227" s="2"/>
    </row>
    <row r="228" spans="1:9" s="3" customFormat="1" ht="75" x14ac:dyDescent="0.3">
      <c r="A228" s="2"/>
      <c r="B228" s="2"/>
      <c r="C228" s="7" t="str">
        <f>"說明："&amp;I222</f>
        <v>說明：排除法規操作限制（例如：夜間飛行、400呎以上飛行、裝載物件或群飛等特殊項目），涉及整體空域秩序之豁免，一律應向中央民航主管機關「民航局」提交作業計畫書並經核准後始得實施。</v>
      </c>
      <c r="D228" s="2"/>
      <c r="E228" s="2"/>
      <c r="F228" s="2"/>
      <c r="G228" s="2"/>
      <c r="H228" s="2"/>
      <c r="I228" s="2"/>
    </row>
    <row r="229" spans="1:9" s="3" customFormat="1" ht="60" x14ac:dyDescent="0.3">
      <c r="A229" s="4" t="str">
        <f>dB題庫!A40</f>
        <v>39</v>
      </c>
      <c r="B229" s="4" t="str">
        <f>dB題庫!B40</f>
        <v>政府機關(構)、學校或法人經民航局核准得於「人群聚集或室外集會遊行上空」進行飛航活動者，其活動場地部分仍應取得何者之同意？</v>
      </c>
      <c r="C229" s="4" t="str">
        <f t="shared" si="1"/>
        <v>39.政府機關(構)、學校或法人經民航局核准得於「人群聚集或室外集會遊行上空」進行飛航活動者，其活動場地部分仍應取得何者之同意？</v>
      </c>
      <c r="D229" s="4" t="str">
        <f>dB題庫!C40</f>
        <v>直轄市、縣(市)政府及相關中央主管機關。</v>
      </c>
      <c r="E229" s="4" t="str">
        <f>dB題庫!D40</f>
        <v>直轄市、縣(市)政府。</v>
      </c>
      <c r="F229" s="4" t="str">
        <f>dB題庫!E40</f>
        <v>相關中央主管機關。</v>
      </c>
      <c r="G229" s="4" t="str">
        <f>dB題庫!F40</f>
        <v>當地派出所。</v>
      </c>
      <c r="H229" s="4" t="str">
        <f>dB題庫!G40</f>
        <v>A</v>
      </c>
      <c r="I229" s="4" t="str">
        <f>dB題庫!H40</f>
        <v>雖已取得民航局之空域操作許可，但「人群聚集上空」涉及高度地面安全與場地使用權責，故活動場地地面部分，仍應向當地的土地或路權管理權責單位——即「直轄市、縣（市）政府及相關中央主管機關」取得使用同意。</v>
      </c>
    </row>
    <row r="230" spans="1:9" s="3" customFormat="1" x14ac:dyDescent="0.3">
      <c r="A230" s="2" t="s">
        <v>541</v>
      </c>
      <c r="B230" s="1"/>
      <c r="C230" s="7" t="str">
        <f>"(A.)"&amp;D229</f>
        <v>(A.)直轄市、縣(市)政府及相關中央主管機關。</v>
      </c>
      <c r="D230" s="2"/>
      <c r="E230" s="2"/>
      <c r="F230" s="2"/>
      <c r="G230" s="2"/>
      <c r="H230" s="2"/>
      <c r="I230" s="2"/>
    </row>
    <row r="231" spans="1:9" s="3" customFormat="1" x14ac:dyDescent="0.3">
      <c r="A231" s="2"/>
      <c r="B231" s="1"/>
      <c r="C231" s="7" t="str">
        <f>"(B.)"&amp;E229</f>
        <v>(B.)直轄市、縣(市)政府。</v>
      </c>
      <c r="D231" s="2"/>
      <c r="E231" s="2"/>
      <c r="F231" s="2"/>
      <c r="G231" s="2"/>
      <c r="H231" s="2"/>
      <c r="I231" s="2"/>
    </row>
    <row r="232" spans="1:9" s="3" customFormat="1" x14ac:dyDescent="0.3">
      <c r="A232" s="2"/>
      <c r="B232" s="2"/>
      <c r="C232" s="7" t="str">
        <f>"(C.)"&amp;F229</f>
        <v>(C.)相關中央主管機關。</v>
      </c>
      <c r="D232" s="2"/>
      <c r="E232" s="2"/>
      <c r="F232" s="2"/>
      <c r="G232" s="2"/>
      <c r="H232" s="2"/>
      <c r="I232" s="2"/>
    </row>
    <row r="233" spans="1:9" s="3" customFormat="1" x14ac:dyDescent="0.3">
      <c r="A233" s="2"/>
      <c r="B233" s="2"/>
      <c r="C233" s="7" t="str">
        <f>"(D.)"&amp;G229</f>
        <v>(D.)當地派出所。</v>
      </c>
      <c r="D233" s="2"/>
      <c r="E233" s="2"/>
      <c r="F233" s="2"/>
      <c r="G233" s="2"/>
      <c r="H233" s="2"/>
      <c r="I233" s="2"/>
    </row>
    <row r="234" spans="1:9" s="3" customFormat="1" ht="30" x14ac:dyDescent="0.3">
      <c r="A234" s="2"/>
      <c r="B234" s="2"/>
      <c r="C234" s="7" t="str">
        <f>"答案是： "&amp;IF(H229="A",C230,IF(H229="B",C231,IF(H229="C",C232,IF(H229=("D"),C233,"XXXX"))))</f>
        <v>答案是： (A.)直轄市、縣(市)政府及相關中央主管機關。</v>
      </c>
      <c r="D234" s="2"/>
      <c r="E234" s="2"/>
      <c r="F234" s="2"/>
      <c r="G234" s="2"/>
      <c r="H234" s="2"/>
      <c r="I234" s="2"/>
    </row>
    <row r="235" spans="1:9" s="3" customFormat="1" ht="90" x14ac:dyDescent="0.3">
      <c r="A235" s="2"/>
      <c r="B235" s="2"/>
      <c r="C235" s="7" t="str">
        <f>"說明："&amp;I229</f>
        <v>說明：雖已取得民航局之空域操作許可，但「人群聚集上空」涉及高度地面安全與場地使用權責，故活動場地地面部分，仍應向當地的土地或路權管理權責單位——即「直轄市、縣（市）政府及相關中央主管機關」取得使用同意。</v>
      </c>
      <c r="D235" s="2"/>
      <c r="E235" s="2"/>
      <c r="F235" s="2"/>
      <c r="G235" s="2"/>
      <c r="H235" s="2"/>
      <c r="I235" s="2"/>
    </row>
    <row r="236" spans="1:9" s="3" customFormat="1" ht="45" x14ac:dyDescent="0.3">
      <c r="A236" s="4" t="str">
        <f>dB題庫!A41</f>
        <v>40</v>
      </c>
      <c r="B236" s="4" t="str">
        <f>dB題庫!B41</f>
        <v>操作遙控無人機發生下列哪種情形時，遙控無人機所有人應負賠償責任？</v>
      </c>
      <c r="C236" s="4" t="str">
        <f t="shared" si="1"/>
        <v>40.操作遙控無人機發生下列哪種情形時，遙控無人機所有人應負賠償責任？</v>
      </c>
      <c r="D236" s="4" t="str">
        <f>dB題庫!C41</f>
        <v>故意致他人死傷。</v>
      </c>
      <c r="E236" s="4" t="str">
        <f>dB題庫!D41</f>
        <v>過失致他人死傷。</v>
      </c>
      <c r="F236" s="4" t="str">
        <f>dB題庫!E41</f>
        <v>故意或過失毀損他人財物。</v>
      </c>
      <c r="G236" s="4" t="str">
        <f>dB題庫!F41</f>
        <v>以上皆是。</v>
      </c>
      <c r="H236" s="4" t="str">
        <f>dB題庫!G41</f>
        <v>D</v>
      </c>
      <c r="I236" s="4" t="str">
        <f>dB題庫!H41</f>
        <v>依據民航法第99條之15規定，遙控無人機所有人不論是出於故意或過失，只要其航空器造成他人之死傷，或者造成他人財產、物品毀損，皆應依法承擔損害賠償責任，故選 (D)。</v>
      </c>
    </row>
    <row r="237" spans="1:9" s="3" customFormat="1" x14ac:dyDescent="0.3">
      <c r="A237" s="2" t="s">
        <v>541</v>
      </c>
      <c r="B237" s="1"/>
      <c r="C237" s="7" t="str">
        <f>"(A.)"&amp;D236</f>
        <v>(A.)故意致他人死傷。</v>
      </c>
      <c r="D237" s="2"/>
      <c r="E237" s="2"/>
      <c r="F237" s="2"/>
      <c r="G237" s="2"/>
      <c r="H237" s="2"/>
      <c r="I237" s="2"/>
    </row>
    <row r="238" spans="1:9" s="3" customFormat="1" x14ac:dyDescent="0.3">
      <c r="A238" s="2"/>
      <c r="B238" s="1"/>
      <c r="C238" s="7" t="str">
        <f>"(B.)"&amp;E236</f>
        <v>(B.)過失致他人死傷。</v>
      </c>
      <c r="D238" s="2"/>
      <c r="E238" s="2"/>
      <c r="F238" s="2"/>
      <c r="G238" s="2"/>
      <c r="H238" s="2"/>
      <c r="I238" s="2"/>
    </row>
    <row r="239" spans="1:9" s="3" customFormat="1" x14ac:dyDescent="0.3">
      <c r="A239" s="2"/>
      <c r="B239" s="2"/>
      <c r="C239" s="7" t="str">
        <f>"(C.)"&amp;F236</f>
        <v>(C.)故意或過失毀損他人財物。</v>
      </c>
      <c r="D239" s="2"/>
      <c r="E239" s="2"/>
      <c r="F239" s="2"/>
      <c r="G239" s="2"/>
      <c r="H239" s="2"/>
      <c r="I239" s="2"/>
    </row>
    <row r="240" spans="1:9" s="3" customFormat="1" x14ac:dyDescent="0.3">
      <c r="A240" s="2"/>
      <c r="B240" s="2"/>
      <c r="C240" s="7" t="str">
        <f>"(D.)"&amp;G236</f>
        <v>(D.)以上皆是。</v>
      </c>
      <c r="D240" s="2"/>
      <c r="E240" s="2"/>
      <c r="F240" s="2"/>
      <c r="G240" s="2"/>
      <c r="H240" s="2"/>
      <c r="I240" s="2"/>
    </row>
    <row r="241" spans="1:9" s="3" customFormat="1" x14ac:dyDescent="0.3">
      <c r="A241" s="2"/>
      <c r="B241" s="2"/>
      <c r="C241" s="7" t="str">
        <f>"答案是： "&amp;IF(H236="A",C237,IF(H236="B",C238,IF(H236="C",C239,IF(H236=("D"),C240,"XXXX"))))</f>
        <v>答案是： (D.)以上皆是。</v>
      </c>
      <c r="D241" s="2"/>
      <c r="E241" s="2"/>
      <c r="F241" s="2"/>
      <c r="G241" s="2"/>
      <c r="H241" s="2"/>
      <c r="I241" s="2"/>
    </row>
    <row r="242" spans="1:9" s="3" customFormat="1" ht="60" x14ac:dyDescent="0.3">
      <c r="A242" s="2"/>
      <c r="B242" s="2"/>
      <c r="C242" s="7" t="str">
        <f>"說明："&amp;I236</f>
        <v>說明：依據民航法第99條之15規定，遙控無人機所有人不論是出於故意或過失，只要其航空器造成他人之死傷，或者造成他人財產、物品毀損，皆應依法承擔損害賠償責任，故選 (D)。</v>
      </c>
      <c r="D242" s="2"/>
      <c r="E242" s="2"/>
      <c r="F242" s="2"/>
      <c r="G242" s="2"/>
      <c r="H242" s="2"/>
      <c r="I242" s="2"/>
    </row>
    <row r="243" spans="1:9" s="3" customFormat="1" ht="45" x14ac:dyDescent="0.3">
      <c r="A243" s="4" t="str">
        <f>dB題庫!A42</f>
        <v>41</v>
      </c>
      <c r="B243" s="4" t="str">
        <f>dB題庫!B42</f>
        <v>遙控無人機所有人將其遙控無人機交由他人進行操作而不慎墜落傷人，應由何人負連帶賠償責任？</v>
      </c>
      <c r="C243" s="4" t="str">
        <f t="shared" si="1"/>
        <v>41.遙控無人機所有人將其遙控無人機交由他人進行操作而不慎墜落傷人，應由何人負連帶賠償責任？</v>
      </c>
      <c r="D243" s="4" t="str">
        <f>dB題庫!C42</f>
        <v>所有人及旁觀人。</v>
      </c>
      <c r="E243" s="4" t="str">
        <f>dB題庫!D42</f>
        <v>所有人及設計者。</v>
      </c>
      <c r="F243" s="4" t="str">
        <f>dB題庫!E42</f>
        <v>所有人及操作人。</v>
      </c>
      <c r="G243" s="4" t="str">
        <f>dB題庫!F42</f>
        <v>所有人及製造者。</v>
      </c>
      <c r="H243" s="4" t="str">
        <f>dB題庫!G42</f>
        <v>C</v>
      </c>
      <c r="I243" s="4" t="str">
        <f>dB題庫!H42</f>
        <v>法律為徹底保障受害者權益，明文規定當無人機借予、交予他人使用時，若因操作不當發生墜毀傷人事件，無人機的「所有人」與當時的實際「操作人」，必須共同負起「連帶賠償責任」。</v>
      </c>
    </row>
    <row r="244" spans="1:9" s="3" customFormat="1" x14ac:dyDescent="0.3">
      <c r="A244" s="2" t="s">
        <v>541</v>
      </c>
      <c r="B244" s="1"/>
      <c r="C244" s="7" t="str">
        <f>"(A.)"&amp;D243</f>
        <v>(A.)所有人及旁觀人。</v>
      </c>
      <c r="D244" s="2"/>
      <c r="E244" s="2"/>
      <c r="F244" s="2"/>
      <c r="G244" s="2"/>
      <c r="H244" s="2"/>
      <c r="I244" s="2"/>
    </row>
    <row r="245" spans="1:9" s="3" customFormat="1" x14ac:dyDescent="0.3">
      <c r="A245" s="2"/>
      <c r="B245" s="1"/>
      <c r="C245" s="7" t="str">
        <f>"(B.)"&amp;E243</f>
        <v>(B.)所有人及設計者。</v>
      </c>
      <c r="D245" s="2"/>
      <c r="E245" s="2"/>
      <c r="F245" s="2"/>
      <c r="G245" s="2"/>
      <c r="H245" s="2"/>
      <c r="I245" s="2"/>
    </row>
    <row r="246" spans="1:9" s="3" customFormat="1" x14ac:dyDescent="0.3">
      <c r="A246" s="2"/>
      <c r="B246" s="2"/>
      <c r="C246" s="7" t="str">
        <f>"(C.)"&amp;F243</f>
        <v>(C.)所有人及操作人。</v>
      </c>
      <c r="D246" s="2"/>
      <c r="E246" s="2"/>
      <c r="F246" s="2"/>
      <c r="G246" s="2"/>
      <c r="H246" s="2"/>
      <c r="I246" s="2"/>
    </row>
    <row r="247" spans="1:9" s="3" customFormat="1" x14ac:dyDescent="0.3">
      <c r="A247" s="2"/>
      <c r="B247" s="2"/>
      <c r="C247" s="7" t="str">
        <f>"(D.)"&amp;G243</f>
        <v>(D.)所有人及製造者。</v>
      </c>
      <c r="D247" s="2"/>
      <c r="E247" s="2"/>
      <c r="F247" s="2"/>
      <c r="G247" s="2"/>
      <c r="H247" s="2"/>
      <c r="I247" s="2"/>
    </row>
    <row r="248" spans="1:9" s="3" customFormat="1" x14ac:dyDescent="0.3">
      <c r="A248" s="2"/>
      <c r="B248" s="2"/>
      <c r="C248" s="7" t="str">
        <f>"答案是： "&amp;IF(H243="A",C244,IF(H243="B",C245,IF(H243="C",C246,IF(H243=("D"),C247,"XXXX"))))</f>
        <v>答案是： (C.)所有人及操作人。</v>
      </c>
      <c r="D248" s="2"/>
      <c r="E248" s="2"/>
      <c r="F248" s="2"/>
      <c r="G248" s="2"/>
      <c r="H248" s="2"/>
      <c r="I248" s="2"/>
    </row>
    <row r="249" spans="1:9" s="3" customFormat="1" ht="75" x14ac:dyDescent="0.3">
      <c r="A249" s="2"/>
      <c r="B249" s="2"/>
      <c r="C249" s="7" t="str">
        <f>"說明："&amp;I243</f>
        <v>說明：法律為徹底保障受害者權益，明文規定當無人機借予、交予他人使用時，若因操作不當發生墜毀傷人事件，無人機的「所有人」與當時的實際「操作人」，必須共同負起「連帶賠償責任」。</v>
      </c>
      <c r="D249" s="2"/>
      <c r="E249" s="2"/>
      <c r="F249" s="2"/>
      <c r="G249" s="2"/>
      <c r="H249" s="2"/>
      <c r="I249" s="2"/>
    </row>
    <row r="250" spans="1:9" s="3" customFormat="1" ht="45" x14ac:dyDescent="0.3">
      <c r="A250" s="4" t="str">
        <f>dB題庫!A43</f>
        <v>42</v>
      </c>
      <c r="B250" s="4" t="str">
        <f>dB題庫!B43</f>
        <v>政府機關(構)、學校或法人於從事民航局核准之遙控無人機飛航活動前，應依法投保責任保險，係依據何法所定之內容？</v>
      </c>
      <c r="C250" s="4" t="str">
        <f t="shared" si="1"/>
        <v>42.政府機關(構)、學校或法人於從事民航局核准之遙控無人機飛航活動前，應依法投保責任保險，係依據何法所定之內容？</v>
      </c>
      <c r="D250" s="4" t="str">
        <f>dB題庫!C43</f>
        <v>保險法。</v>
      </c>
      <c r="E250" s="4" t="str">
        <f>dB題庫!D43</f>
        <v>民用航空法。</v>
      </c>
      <c r="F250" s="4" t="str">
        <f>dB題庫!E43</f>
        <v>民法。</v>
      </c>
      <c r="G250" s="4" t="str">
        <f>dB題庫!F43</f>
        <v>勞動基準法。</v>
      </c>
      <c r="H250" s="4" t="str">
        <f>dB題庫!G43</f>
        <v>B</v>
      </c>
      <c r="I250" s="4" t="str">
        <f>dB題庫!H43</f>
        <v>法人執行無人機業務前必須強制投保第三人責任險，這項特別的強制性規定是明文訂定於《民用航空法》遙控無人機專章內（並非保險法或民法之常態條文）。</v>
      </c>
    </row>
    <row r="251" spans="1:9" s="3" customFormat="1" x14ac:dyDescent="0.3">
      <c r="A251" s="2" t="s">
        <v>541</v>
      </c>
      <c r="B251" s="1"/>
      <c r="C251" s="7" t="str">
        <f>"(A.)"&amp;D250</f>
        <v>(A.)保險法。</v>
      </c>
      <c r="D251" s="2"/>
      <c r="E251" s="2"/>
      <c r="F251" s="2"/>
      <c r="G251" s="2"/>
      <c r="H251" s="2"/>
      <c r="I251" s="2"/>
    </row>
    <row r="252" spans="1:9" s="3" customFormat="1" x14ac:dyDescent="0.3">
      <c r="A252" s="2"/>
      <c r="B252" s="1"/>
      <c r="C252" s="7" t="str">
        <f>"(B.)"&amp;E250</f>
        <v>(B.)民用航空法。</v>
      </c>
      <c r="D252" s="2"/>
      <c r="E252" s="2"/>
      <c r="F252" s="2"/>
      <c r="G252" s="2"/>
      <c r="H252" s="2"/>
      <c r="I252" s="2"/>
    </row>
    <row r="253" spans="1:9" s="3" customFormat="1" x14ac:dyDescent="0.3">
      <c r="A253" s="2"/>
      <c r="B253" s="2"/>
      <c r="C253" s="7" t="str">
        <f>"(C.)"&amp;F250</f>
        <v>(C.)民法。</v>
      </c>
      <c r="D253" s="2"/>
      <c r="E253" s="2"/>
      <c r="F253" s="2"/>
      <c r="G253" s="2"/>
      <c r="H253" s="2"/>
      <c r="I253" s="2"/>
    </row>
    <row r="254" spans="1:9" s="3" customFormat="1" x14ac:dyDescent="0.3">
      <c r="A254" s="2"/>
      <c r="B254" s="2"/>
      <c r="C254" s="7" t="str">
        <f>"(D.)"&amp;G250</f>
        <v>(D.)勞動基準法。</v>
      </c>
      <c r="D254" s="2"/>
      <c r="E254" s="2"/>
      <c r="F254" s="2"/>
      <c r="G254" s="2"/>
      <c r="H254" s="2"/>
      <c r="I254" s="2"/>
    </row>
    <row r="255" spans="1:9" s="3" customFormat="1" x14ac:dyDescent="0.3">
      <c r="A255" s="2"/>
      <c r="B255" s="2"/>
      <c r="C255" s="7" t="str">
        <f>"答案是： "&amp;IF(H250="A",C251,IF(H250="B",C252,IF(H250="C",C253,IF(H250=("D"),C254,"XXXX"))))</f>
        <v>答案是： (B.)民用航空法。</v>
      </c>
      <c r="D255" s="2"/>
      <c r="E255" s="2"/>
      <c r="F255" s="2"/>
      <c r="G255" s="2"/>
      <c r="H255" s="2"/>
      <c r="I255" s="2"/>
    </row>
    <row r="256" spans="1:9" s="3" customFormat="1" ht="60" x14ac:dyDescent="0.3">
      <c r="A256" s="2"/>
      <c r="B256" s="2"/>
      <c r="C256" s="7" t="str">
        <f>"說明："&amp;I250</f>
        <v>說明：法人執行無人機業務前必須強制投保第三人責任險，這項特別的強制性規定是明文訂定於《民用航空法》遙控無人機專章內（並非保險法或民法之常態條文）。</v>
      </c>
      <c r="D256" s="2"/>
      <c r="E256" s="2"/>
      <c r="F256" s="2"/>
      <c r="G256" s="2"/>
      <c r="H256" s="2"/>
      <c r="I256" s="2"/>
    </row>
    <row r="257" spans="1:9" s="3" customFormat="1" ht="75" x14ac:dyDescent="0.3">
      <c r="A257" s="4" t="str">
        <f>dB題庫!A44</f>
        <v>43</v>
      </c>
      <c r="B257" s="4" t="str">
        <f>dB題庫!B44</f>
        <v>遙控無人機所有人或操作人違反「禁航區、限航區及航空站或飛行場四周之一定距離範圍內從事飛航活動」之相關規定者，民航局除廢止其操作證並得沒入遙控無人機外，另處多少新臺幣之罰鍰？</v>
      </c>
      <c r="C257" s="4" t="str">
        <f t="shared" si="1"/>
        <v>43.遙控無人機所有人或操作人違反「禁航區、限航區及航空站或飛行場四周之一定距離範圍內從事飛航活動」之相關規定者，民航局除廢止其操作證並得沒入遙控無人機外，另處多少新臺幣之罰鍰？</v>
      </c>
      <c r="D257" s="4" t="str">
        <f>dB題庫!C44</f>
        <v>3萬元以上18萬元以下。</v>
      </c>
      <c r="E257" s="4" t="str">
        <f>dB題庫!D44</f>
        <v>5萬元以上28萬元以下。</v>
      </c>
      <c r="F257" s="4" t="str">
        <f>dB題庫!E44</f>
        <v>10萬元以上48萬元以下。</v>
      </c>
      <c r="G257" s="4" t="str">
        <f>dB題庫!F44</f>
        <v>30萬元以上150萬元以下。</v>
      </c>
      <c r="H257" s="4" t="str">
        <f>dB題庫!G44</f>
        <v>D</v>
      </c>
      <c r="I257" s="4" t="str">
        <f>dB題庫!H44</f>
        <v>非法侵入機場四周或禁限航區，屬於極度危險、可能引發重大空難之惡性违規行為，因此民航法祭出最高罰則，處以「30萬元以上150萬元以下」之鉅額罰鍰，並得沒入無人機。
【!】5倍、影響飛航安全：公共極度危險 &lt;&lt; 一級 30。</v>
      </c>
    </row>
    <row r="258" spans="1:9" s="3" customFormat="1" x14ac:dyDescent="0.3">
      <c r="A258" s="2" t="s">
        <v>541</v>
      </c>
      <c r="B258" s="1"/>
      <c r="C258" s="7" t="str">
        <f>"(A.)"&amp;D257</f>
        <v>(A.)3萬元以上18萬元以下。</v>
      </c>
      <c r="D258" s="2"/>
      <c r="E258" s="2"/>
      <c r="F258" s="2"/>
      <c r="G258" s="2"/>
      <c r="H258" s="2"/>
      <c r="I258" s="2"/>
    </row>
    <row r="259" spans="1:9" s="3" customFormat="1" x14ac:dyDescent="0.3">
      <c r="A259" s="2"/>
      <c r="B259" s="1"/>
      <c r="C259" s="7" t="str">
        <f>"(B.)"&amp;E257</f>
        <v>(B.)5萬元以上28萬元以下。</v>
      </c>
      <c r="D259" s="2"/>
      <c r="E259" s="2"/>
      <c r="F259" s="2"/>
      <c r="G259" s="2"/>
      <c r="H259" s="2"/>
      <c r="I259" s="2"/>
    </row>
    <row r="260" spans="1:9" s="3" customFormat="1" x14ac:dyDescent="0.3">
      <c r="A260" s="2"/>
      <c r="B260" s="2"/>
      <c r="C260" s="7" t="str">
        <f>"(C.)"&amp;F257</f>
        <v>(C.)10萬元以上48萬元以下。</v>
      </c>
      <c r="D260" s="2"/>
      <c r="E260" s="2"/>
      <c r="F260" s="2"/>
      <c r="G260" s="2"/>
      <c r="H260" s="2"/>
      <c r="I260" s="2"/>
    </row>
    <row r="261" spans="1:9" s="3" customFormat="1" x14ac:dyDescent="0.3">
      <c r="A261" s="2"/>
      <c r="B261" s="2"/>
      <c r="C261" s="7" t="str">
        <f>"(D.)"&amp;G257</f>
        <v>(D.)30萬元以上150萬元以下。</v>
      </c>
      <c r="D261" s="2"/>
      <c r="E261" s="2"/>
      <c r="F261" s="2"/>
      <c r="G261" s="2"/>
      <c r="H261" s="2"/>
      <c r="I261" s="2"/>
    </row>
    <row r="262" spans="1:9" s="3" customFormat="1" x14ac:dyDescent="0.3">
      <c r="A262" s="2"/>
      <c r="B262" s="2"/>
      <c r="C262" s="7" t="str">
        <f>"答案是： "&amp;IF(H257="A",C258,IF(H257="B",C259,IF(H257="C",C260,IF(H257=("D"),C261,"XXXX"))))</f>
        <v>答案是： (D.)30萬元以上150萬元以下。</v>
      </c>
      <c r="D262" s="2"/>
      <c r="E262" s="2"/>
      <c r="F262" s="2"/>
      <c r="G262" s="2"/>
      <c r="H262" s="2"/>
      <c r="I262" s="2"/>
    </row>
    <row r="263" spans="1:9" s="3" customFormat="1" ht="90" x14ac:dyDescent="0.3">
      <c r="A263" s="2"/>
      <c r="B263" s="2"/>
      <c r="C263" s="7" t="str">
        <f>"說明："&amp;I257</f>
        <v>說明：非法侵入機場四周或禁限航區，屬於極度危險、可能引發重大空難之惡性违規行為，因此民航法祭出最高罰則，處以「30萬元以上150萬元以下」之鉅額罰鍰，並得沒入無人機。
【!】5倍、影響飛航安全：公共極度危險 &lt;&lt; 一級 30。</v>
      </c>
      <c r="D263" s="2"/>
      <c r="E263" s="2"/>
      <c r="F263" s="2"/>
      <c r="G263" s="2"/>
      <c r="H263" s="2"/>
      <c r="I263" s="2"/>
    </row>
    <row r="264" spans="1:9" s="3" customFormat="1" ht="60" x14ac:dyDescent="0.3">
      <c r="A264" s="4" t="str">
        <f>dB題庫!A45</f>
        <v>44</v>
      </c>
      <c r="B264" s="4" t="str">
        <f>dB題庫!B45</f>
        <v>遙控無人機所有人或操作人違反「不得逾距地面或水面高度400呎從事飛航活動」之規定者，民航局除廢止其操作證並得沒入遙控無人機外，另處多少新臺幣之罰鍰？</v>
      </c>
      <c r="C264" s="4" t="str">
        <f t="shared" si="1"/>
        <v>44.遙控無人機所有人或操作人違反「不得逾距地面或水面高度400呎從事飛航活動」之規定者，民航局除廢止其操作證並得沒入遙控無人機外，另處多少新臺幣之罰鍰？</v>
      </c>
      <c r="D264" s="4" t="str">
        <f>dB題庫!C45</f>
        <v>30萬元以上150萬元以下。</v>
      </c>
      <c r="E264" s="4" t="str">
        <f>dB題庫!D45</f>
        <v>1萬元以上10萬元以下。</v>
      </c>
      <c r="F264" s="4" t="str">
        <f>dB題庫!E45</f>
        <v>20萬元以上50萬元以下。</v>
      </c>
      <c r="G264" s="4" t="str">
        <f>dB題庫!F45</f>
        <v>5萬元以上30萬元以下。</v>
      </c>
      <c r="H264" s="4" t="str">
        <f>dB題庫!G45</f>
        <v>A</v>
      </c>
      <c r="I264" s="4" t="str">
        <f>dB題庫!H45</f>
        <v>超高空飛行（超過400呎）極易闖入有人航空器（如直升機、民航機）之航道。此行為在法規修正後，其處罰與闖入禁限航區同等嚴重，處「30萬元以上150萬元以下」罰鍰。
【!】5倍、影響飛航安全：公共極度危險 &lt;&lt; 一級 30。</v>
      </c>
    </row>
    <row r="265" spans="1:9" s="3" customFormat="1" x14ac:dyDescent="0.3">
      <c r="A265" s="2" t="s">
        <v>541</v>
      </c>
      <c r="B265" s="1"/>
      <c r="C265" s="7" t="str">
        <f>"(A.)"&amp;D264</f>
        <v>(A.)30萬元以上150萬元以下。</v>
      </c>
      <c r="D265" s="2"/>
      <c r="E265" s="2"/>
      <c r="F265" s="2"/>
      <c r="G265" s="2"/>
      <c r="H265" s="2"/>
      <c r="I265" s="2"/>
    </row>
    <row r="266" spans="1:9" s="3" customFormat="1" x14ac:dyDescent="0.3">
      <c r="A266" s="2"/>
      <c r="B266" s="1"/>
      <c r="C266" s="7" t="str">
        <f>"(B.)"&amp;E264</f>
        <v>(B.)1萬元以上10萬元以下。</v>
      </c>
      <c r="D266" s="2"/>
      <c r="E266" s="2"/>
      <c r="F266" s="2"/>
      <c r="G266" s="2"/>
      <c r="H266" s="2"/>
      <c r="I266" s="2"/>
    </row>
    <row r="267" spans="1:9" s="3" customFormat="1" x14ac:dyDescent="0.3">
      <c r="A267" s="2"/>
      <c r="B267" s="2"/>
      <c r="C267" s="7" t="str">
        <f>"(C.)"&amp;F264</f>
        <v>(C.)20萬元以上50萬元以下。</v>
      </c>
      <c r="D267" s="2"/>
      <c r="E267" s="2"/>
      <c r="F267" s="2"/>
      <c r="G267" s="2"/>
      <c r="H267" s="2"/>
      <c r="I267" s="2"/>
    </row>
    <row r="268" spans="1:9" s="3" customFormat="1" x14ac:dyDescent="0.3">
      <c r="A268" s="2"/>
      <c r="B268" s="2"/>
      <c r="C268" s="7" t="str">
        <f>"(D.)"&amp;G264</f>
        <v>(D.)5萬元以上30萬元以下。</v>
      </c>
      <c r="D268" s="2"/>
      <c r="E268" s="2"/>
      <c r="F268" s="2"/>
      <c r="G268" s="2"/>
      <c r="H268" s="2"/>
      <c r="I268" s="2"/>
    </row>
    <row r="269" spans="1:9" s="3" customFormat="1" x14ac:dyDescent="0.3">
      <c r="A269" s="2"/>
      <c r="B269" s="2"/>
      <c r="C269" s="7" t="str">
        <f>"答案是： "&amp;IF(H264="A",C265,IF(H264="B",C266,IF(H264="C",C267,IF(H264=("D"),C268,"XXXX"))))</f>
        <v>答案是： (A.)30萬元以上150萬元以下。</v>
      </c>
      <c r="D269" s="2"/>
      <c r="E269" s="2"/>
      <c r="F269" s="2"/>
      <c r="G269" s="2"/>
      <c r="H269" s="2"/>
      <c r="I269" s="2"/>
    </row>
    <row r="270" spans="1:9" s="3" customFormat="1" ht="90" x14ac:dyDescent="0.3">
      <c r="A270" s="2"/>
      <c r="B270" s="2"/>
      <c r="C270" s="7" t="str">
        <f>"說明："&amp;I264</f>
        <v>說明：超高空飛行（超過400呎）極易闖入有人航空器（如直升機、民航機）之航道。此行為在法規修正後，其處罰與闖入禁限航區同等嚴重，處「30萬元以上150萬元以下」罰鍰。
【!】5倍、影響飛航安全：公共極度危險 &lt;&lt; 一級 30。</v>
      </c>
      <c r="D270" s="2"/>
      <c r="E270" s="2"/>
      <c r="F270" s="2"/>
      <c r="G270" s="2"/>
      <c r="H270" s="2"/>
      <c r="I270" s="2"/>
    </row>
    <row r="271" spans="1:9" s="3" customFormat="1" ht="90" x14ac:dyDescent="0.3">
      <c r="A271" s="4" t="str">
        <f>dB題庫!A46</f>
        <v>45</v>
      </c>
      <c r="B271" s="4" t="str">
        <f>dB題庫!B46</f>
        <v>遙控無人機之所有人或操作人違反「未領有操作證而操作遙控無人機」之規定者，除禁止其活動，情節重大者並得沒入遙控無人機外，另處多少新臺幣之罰鍰？</v>
      </c>
      <c r="C271" s="4" t="str">
        <f t="shared" si="1"/>
        <v>45.遙控無人機之所有人或操作人違反「未領有操作證而操作遙控無人機」之規定者，除禁止其活動，情節重大者並得沒入遙控無人機外，另處多少新臺幣之罰鍰？</v>
      </c>
      <c r="D271" s="4" t="str">
        <f>dB題庫!C46</f>
        <v>1萬元以上8萬元以下。</v>
      </c>
      <c r="E271" s="4" t="str">
        <f>dB題庫!D46</f>
        <v>3萬元以上18萬元以下。</v>
      </c>
      <c r="F271" s="4" t="str">
        <f>dB題庫!E46</f>
        <v>6萬元以上30萬元以下。</v>
      </c>
      <c r="G271" s="4" t="str">
        <f>dB題庫!F46</f>
        <v>8萬元以上38萬元以下。</v>
      </c>
      <c r="H271" s="4" t="str">
        <f>dB題庫!G46</f>
        <v>C</v>
      </c>
      <c r="I271" s="4" t="str">
        <f>dB題庫!H46</f>
        <v>凡屬依規定應考取操作證之機型（如法人所有機器或達特定重量之機器），若操作人「無照駕駛」，依法民航局將處以「6萬元以上30萬元以下」罰鍰。
依「民用航空法遙控無人機專章」118之2條罰則：違反第九十九條之十第二項規定，未領有操作證而操作遙控無人機。
【!】5倍、無照駕駛：公共中度危險 &lt;&lt; 二級 6。</v>
      </c>
    </row>
    <row r="272" spans="1:9" s="3" customFormat="1" x14ac:dyDescent="0.3">
      <c r="A272" s="2" t="s">
        <v>541</v>
      </c>
      <c r="B272" s="1"/>
      <c r="C272" s="7" t="str">
        <f>"(A.)"&amp;D271</f>
        <v>(A.)1萬元以上8萬元以下。</v>
      </c>
      <c r="D272" s="2"/>
      <c r="E272" s="2"/>
      <c r="F272" s="2"/>
      <c r="G272" s="2"/>
      <c r="H272" s="2"/>
      <c r="I272" s="2"/>
    </row>
    <row r="273" spans="1:9" s="3" customFormat="1" x14ac:dyDescent="0.3">
      <c r="A273" s="2"/>
      <c r="B273" s="1"/>
      <c r="C273" s="7" t="str">
        <f>"(B.)"&amp;E271</f>
        <v>(B.)3萬元以上18萬元以下。</v>
      </c>
      <c r="D273" s="2"/>
      <c r="E273" s="2"/>
      <c r="F273" s="2"/>
      <c r="G273" s="2"/>
      <c r="H273" s="2"/>
      <c r="I273" s="2"/>
    </row>
    <row r="274" spans="1:9" s="3" customFormat="1" x14ac:dyDescent="0.3">
      <c r="A274" s="2"/>
      <c r="B274" s="2"/>
      <c r="C274" s="7" t="str">
        <f>"(C.)"&amp;F271</f>
        <v>(C.)6萬元以上30萬元以下。</v>
      </c>
      <c r="D274" s="2"/>
      <c r="E274" s="2"/>
      <c r="F274" s="2"/>
      <c r="G274" s="2"/>
      <c r="H274" s="2"/>
      <c r="I274" s="2"/>
    </row>
    <row r="275" spans="1:9" s="3" customFormat="1" x14ac:dyDescent="0.3">
      <c r="A275" s="2"/>
      <c r="B275" s="2"/>
      <c r="C275" s="7" t="str">
        <f>"(D.)"&amp;G271</f>
        <v>(D.)8萬元以上38萬元以下。</v>
      </c>
      <c r="D275" s="2"/>
      <c r="E275" s="2"/>
      <c r="F275" s="2"/>
      <c r="G275" s="2"/>
      <c r="H275" s="2"/>
      <c r="I275" s="2"/>
    </row>
    <row r="276" spans="1:9" s="3" customFormat="1" x14ac:dyDescent="0.3">
      <c r="A276" s="2"/>
      <c r="B276" s="2"/>
      <c r="C276" s="7" t="str">
        <f>"答案是： "&amp;IF(H271="A",C272,IF(H271="B",C273,IF(H271="C",C274,IF(H271=("D"),C275,"XXXX"))))</f>
        <v>答案是： (C.)6萬元以上30萬元以下。</v>
      </c>
      <c r="D276" s="2"/>
      <c r="E276" s="2"/>
      <c r="F276" s="2"/>
      <c r="G276" s="2"/>
      <c r="H276" s="2"/>
      <c r="I276" s="2"/>
    </row>
    <row r="277" spans="1:9" s="3" customFormat="1" ht="135" x14ac:dyDescent="0.3">
      <c r="A277" s="2"/>
      <c r="B277" s="2"/>
      <c r="C277" s="7" t="str">
        <f>"說明："&amp;I271</f>
        <v>說明：凡屬依規定應考取操作證之機型（如法人所有機器或達特定重量之機器），若操作人「無照駕駛」，依法民航局將處以「6萬元以上30萬元以下」罰鍰。
依「民用航空法遙控無人機專章」118之2條罰則：違反第九十九條之十第二項規定，未領有操作證而操作遙控無人機。
【!】5倍、無照駕駛：公共中度危險 &lt;&lt; 二級 6。</v>
      </c>
      <c r="D277" s="2"/>
      <c r="E277" s="2"/>
      <c r="F277" s="2"/>
      <c r="G277" s="2"/>
      <c r="H277" s="2"/>
      <c r="I277" s="2"/>
    </row>
    <row r="278" spans="1:9" s="3" customFormat="1" ht="75" x14ac:dyDescent="0.3">
      <c r="A278" s="4" t="str">
        <f>dB題庫!A47</f>
        <v>46</v>
      </c>
      <c r="B278" s="4" t="str">
        <f>dB題庫!B47</f>
        <v>遙控無人機之所有人或操作人違反「未投保或未足額投保責任保險而從事遙控無人機活動」之規定者，除禁止其活動，情節重大者並得沒入遙控無人機外，另處多少新臺幣之罰鍰？</v>
      </c>
      <c r="C278" s="4" t="str">
        <f t="shared" si="1"/>
        <v>46.遙控無人機之所有人或操作人違反「未投保或未足額投保責任保險而從事遙控無人機活動」之規定者，除禁止其活動，情節重大者並得沒入遙控無人機外，另處多少新臺幣之罰鍰？</v>
      </c>
      <c r="D278" s="4" t="str">
        <f>dB題庫!C47</f>
        <v>6萬元以上30萬元以下。</v>
      </c>
      <c r="E278" s="4" t="str">
        <f>dB題庫!D47</f>
        <v>3萬元以上20萬元以下.</v>
      </c>
      <c r="F278" s="4" t="str">
        <f>dB題庫!E47</f>
        <v>1萬元以上8萬元以下。</v>
      </c>
      <c r="G278" s="4" t="str">
        <f>dB題庫!F47</f>
        <v>8萬元以上50萬元以下。</v>
      </c>
      <c r="H278" s="4" t="str">
        <f>dB題庫!G47</f>
        <v>A</v>
      </c>
      <c r="I278" s="4" t="str">
        <f>dB題庫!H47</f>
        <v>政府機關、學校、法人若經查獲未依規定投保第三人責任保險，或投保金額不足法定額度即擅自飛行，將被處以「6萬元以上30萬元以下」之罰鍰。
依「民用航空法遙控無人機專章」118之2條罰則：違反第九十九條之十五第三項規定，未投保或未足額投保責任保險而從事遙控無人機活動。
【!】5倍、未投保第三責任險：公共中度危險 &lt;&lt; 二級 6。</v>
      </c>
    </row>
    <row r="279" spans="1:9" s="3" customFormat="1" x14ac:dyDescent="0.3">
      <c r="A279" s="2" t="s">
        <v>541</v>
      </c>
      <c r="B279" s="1"/>
      <c r="C279" s="7" t="str">
        <f>"(A.)"&amp;D278</f>
        <v>(A.)6萬元以上30萬元以下。</v>
      </c>
      <c r="D279" s="2"/>
      <c r="E279" s="2"/>
      <c r="F279" s="2"/>
      <c r="G279" s="2"/>
      <c r="H279" s="2"/>
      <c r="I279" s="2"/>
    </row>
    <row r="280" spans="1:9" s="3" customFormat="1" x14ac:dyDescent="0.3">
      <c r="A280" s="2"/>
      <c r="B280" s="1"/>
      <c r="C280" s="7" t="str">
        <f>"(B.)"&amp;E278</f>
        <v>(B.)3萬元以上20萬元以下.</v>
      </c>
      <c r="D280" s="2"/>
      <c r="E280" s="2"/>
      <c r="F280" s="2"/>
      <c r="G280" s="2"/>
      <c r="H280" s="2"/>
      <c r="I280" s="2"/>
    </row>
    <row r="281" spans="1:9" s="3" customFormat="1" x14ac:dyDescent="0.3">
      <c r="A281" s="2"/>
      <c r="B281" s="2"/>
      <c r="C281" s="7" t="str">
        <f>"(C.)"&amp;F278</f>
        <v>(C.)1萬元以上8萬元以下。</v>
      </c>
      <c r="D281" s="2"/>
      <c r="E281" s="2"/>
      <c r="F281" s="2"/>
      <c r="G281" s="2"/>
      <c r="H281" s="2"/>
      <c r="I281" s="2"/>
    </row>
    <row r="282" spans="1:9" s="3" customFormat="1" x14ac:dyDescent="0.3">
      <c r="A282" s="2"/>
      <c r="B282" s="2"/>
      <c r="C282" s="7" t="str">
        <f>"(D.)"&amp;G278</f>
        <v>(D.)8萬元以上50萬元以下。</v>
      </c>
      <c r="D282" s="2"/>
      <c r="E282" s="2"/>
      <c r="F282" s="2"/>
      <c r="G282" s="2"/>
      <c r="H282" s="2"/>
      <c r="I282" s="2"/>
    </row>
    <row r="283" spans="1:9" s="3" customFormat="1" x14ac:dyDescent="0.3">
      <c r="A283" s="2"/>
      <c r="B283" s="2"/>
      <c r="C283" s="7" t="str">
        <f>"答案是： "&amp;IF(H278="A",C279,IF(H278="B",C280,IF(H278="C",C281,IF(H278=("D"),C282,"XXXX"))))</f>
        <v>答案是： (A.)6萬元以上30萬元以下。</v>
      </c>
      <c r="D283" s="2"/>
      <c r="E283" s="2"/>
      <c r="F283" s="2"/>
      <c r="G283" s="2"/>
      <c r="H283" s="2"/>
      <c r="I283" s="2"/>
    </row>
    <row r="284" spans="1:9" s="3" customFormat="1" ht="150" x14ac:dyDescent="0.3">
      <c r="A284" s="2"/>
      <c r="B284" s="2"/>
      <c r="C284" s="7" t="str">
        <f>"說明："&amp;I278</f>
        <v>說明：政府機關、學校、法人若經查獲未依規定投保第三人責任保險，或投保金額不足法定額度即擅自飛行，將被處以「6萬元以上30萬元以下」之罰鍰。
依「民用航空法遙控無人機專章」118之2條罰則：違反第九十九條之十五第三項規定，未投保或未足額投保責任保險而從事遙控無人機活動。
【!】5倍、未投保第三責任險：公共中度危險 &lt;&lt; 二級 6。</v>
      </c>
      <c r="D284" s="2"/>
      <c r="E284" s="2"/>
      <c r="F284" s="2"/>
      <c r="G284" s="2"/>
      <c r="H284" s="2"/>
      <c r="I284" s="2"/>
    </row>
    <row r="285" spans="1:9" s="3" customFormat="1" ht="90" x14ac:dyDescent="0.3">
      <c r="A285" s="4" t="str">
        <f>dB題庫!A48</f>
        <v>47</v>
      </c>
      <c r="B285" s="4" t="str">
        <f>dB題庫!B48</f>
        <v>遙控無人機之所有人或操作人違反「遙控無人機註冊或標明註冊號碼」之相關規定者，除禁止其活動，情節重大者並得沒入遙控無人機外，另處多少新臺幣之罰鍰？</v>
      </c>
      <c r="C285" s="4" t="str">
        <f t="shared" si="1"/>
        <v>47.遙控無人機之所有人或操作人違反「遙控無人機註冊或標明註冊號碼」之相關規定者，除禁止其活動，情節重大者並得沒入遙控無人機外，另處多少新臺幣之罰鍰？</v>
      </c>
      <c r="D285" s="4" t="str">
        <f>dB題庫!C48</f>
        <v>10萬元以上48萬元以下。</v>
      </c>
      <c r="E285" s="4" t="str">
        <f>dB題庫!D48</f>
        <v>8萬元以上38萬元以下。</v>
      </c>
      <c r="F285" s="4" t="str">
        <f>dB題庫!E48</f>
        <v>5萬元以上28萬元以下。</v>
      </c>
      <c r="G285" s="4" t="str">
        <f>dB題庫!F48</f>
        <v>3萬元以上15萬元以下。</v>
      </c>
      <c r="H285" s="4" t="str">
        <f>dB題庫!G48</f>
        <v>D</v>
      </c>
      <c r="I285" s="4" t="str">
        <f>dB題庫!H48</f>
        <v>達法定重量（250公克）以上之無人機必須辦理註冊。若「未註冊」或「未於機身標明註冊號碼」即行起飛，依法處以「3萬元以上15萬元以下」之罰鍰。
依「民用航空法遙控無人機專章」118之2條罰則：違反第九十九條之十第一項有關遙控無人機註冊或標明註冊號碼之規定。
【!】5倍、未作標示：公共輕度危險 &lt;&lt; 三級 3。</v>
      </c>
    </row>
    <row r="286" spans="1:9" s="3" customFormat="1" x14ac:dyDescent="0.3">
      <c r="A286" s="2" t="s">
        <v>541</v>
      </c>
      <c r="B286" s="1"/>
      <c r="C286" s="7" t="str">
        <f>"(A.)"&amp;D285</f>
        <v>(A.)10萬元以上48萬元以下。</v>
      </c>
      <c r="D286" s="2"/>
      <c r="E286" s="2"/>
      <c r="F286" s="2"/>
      <c r="G286" s="2"/>
      <c r="H286" s="2"/>
      <c r="I286" s="2"/>
    </row>
    <row r="287" spans="1:9" s="3" customFormat="1" x14ac:dyDescent="0.3">
      <c r="A287" s="2"/>
      <c r="B287" s="1"/>
      <c r="C287" s="7" t="str">
        <f>"(B.)"&amp;E285</f>
        <v>(B.)8萬元以上38萬元以下。</v>
      </c>
      <c r="D287" s="2"/>
      <c r="E287" s="2"/>
      <c r="F287" s="2"/>
      <c r="G287" s="2"/>
      <c r="H287" s="2"/>
      <c r="I287" s="2"/>
    </row>
    <row r="288" spans="1:9" s="3" customFormat="1" x14ac:dyDescent="0.3">
      <c r="A288" s="2"/>
      <c r="B288" s="2"/>
      <c r="C288" s="7" t="str">
        <f>"(C.)"&amp;F285</f>
        <v>(C.)5萬元以上28萬元以下。</v>
      </c>
      <c r="D288" s="2"/>
      <c r="E288" s="2"/>
      <c r="F288" s="2"/>
      <c r="G288" s="2"/>
      <c r="H288" s="2"/>
      <c r="I288" s="2"/>
    </row>
    <row r="289" spans="1:9" s="3" customFormat="1" x14ac:dyDescent="0.3">
      <c r="A289" s="2"/>
      <c r="B289" s="2"/>
      <c r="C289" s="7" t="str">
        <f>"(D.)"&amp;G285</f>
        <v>(D.)3萬元以上15萬元以下。</v>
      </c>
      <c r="D289" s="2"/>
      <c r="E289" s="2"/>
      <c r="F289" s="2"/>
      <c r="G289" s="2"/>
      <c r="H289" s="2"/>
      <c r="I289" s="2"/>
    </row>
    <row r="290" spans="1:9" s="3" customFormat="1" x14ac:dyDescent="0.3">
      <c r="A290" s="2"/>
      <c r="B290" s="2"/>
      <c r="C290" s="7" t="str">
        <f>"答案是： "&amp;IF(H285="A",C286,IF(H285="B",C287,IF(H285="C",C288,IF(H285=("D"),C289,"XXXX"))))</f>
        <v>答案是： (D.)3萬元以上15萬元以下。</v>
      </c>
      <c r="D290" s="2"/>
      <c r="E290" s="2"/>
      <c r="F290" s="2"/>
      <c r="G290" s="2"/>
      <c r="H290" s="2"/>
      <c r="I290" s="2"/>
    </row>
    <row r="291" spans="1:9" s="3" customFormat="1" ht="135" x14ac:dyDescent="0.3">
      <c r="A291" s="2"/>
      <c r="B291" s="2"/>
      <c r="C291" s="7" t="str">
        <f>"說明："&amp;I285</f>
        <v>說明：達法定重量（250公克）以上之無人機必須辦理註冊。若「未註冊」或「未於機身標明註冊號碼」即行起飛，依法處以「3萬元以上15萬元以下」之罰鍰。
依「民用航空法遙控無人機專章」118之2條罰則：違反第九十九條之十第一項有關遙控無人機註冊或標明註冊號碼之規定。
【!】5倍、未作標示：公共輕度危險 &lt;&lt; 三級 3。</v>
      </c>
      <c r="D291" s="2"/>
      <c r="E291" s="2"/>
      <c r="F291" s="2"/>
      <c r="G291" s="2"/>
      <c r="H291" s="2"/>
      <c r="I291" s="2"/>
    </row>
    <row r="292" spans="1:9" s="3" customFormat="1" ht="75" x14ac:dyDescent="0.3">
      <c r="A292" s="4" t="str">
        <f>dB題庫!A49</f>
        <v>48</v>
      </c>
      <c r="B292" s="4" t="str">
        <f>dB題庫!B49</f>
        <v>遙控無人機之所有人或操作人違反「直轄市、縣(市)政府公告之區域、時間及其他管理事項」之相關規定者，除禁止其活動，情節重大者並得沒入遙控無人機外，另處多少新臺幣之罰鍰？</v>
      </c>
      <c r="C292" s="4" t="str">
        <f t="shared" si="1"/>
        <v>48.遙控無人機之所有人或操作人違反「直轄市、縣(市)政府公告之區域、時間及其他管理事項」之相關規定者，除禁止其活動，情節重大者並得沒入遙控無人機外，另處多少新臺幣之罰鍰？</v>
      </c>
      <c r="D292" s="4" t="str">
        <f>dB題庫!C49</f>
        <v>3萬元以上15萬元以下。</v>
      </c>
      <c r="E292" s="4" t="str">
        <f>dB題庫!D49</f>
        <v>5萬元以上28萬元以下。</v>
      </c>
      <c r="F292" s="4" t="str">
        <f>dB題庫!E49</f>
        <v>8萬元以上38萬元以下.</v>
      </c>
      <c r="G292" s="4" t="str">
        <f>dB題庫!F49</f>
        <v>15萬元以上30萬元以下。</v>
      </c>
      <c r="H292" s="4" t="str">
        <f>dB題庫!G49</f>
        <v>A</v>
      </c>
      <c r="I292" s="4" t="str">
        <f>dB題庫!H49</f>
        <v>闖入直轄市、縣（市）政府公告之禁止飛行空域（俗稱地方紅區），或違反地方公告之活動時間，其罰鍰額度為「3萬元以上15萬元以下」。
依「民用航空法遙控無人機專章」11之2條罰則：違反第九十九條之十三第二項有關直轄市、縣（市）政府公告之區域、時間及其他管理事項之規定。
【!】5倍、違規進入禁止區域：公共輕度危險 &lt;&lt; 三級 3。</v>
      </c>
    </row>
    <row r="293" spans="1:9" s="3" customFormat="1" x14ac:dyDescent="0.3">
      <c r="A293" s="2" t="s">
        <v>541</v>
      </c>
      <c r="B293" s="1"/>
      <c r="C293" s="7" t="str">
        <f>"(A.)"&amp;D292</f>
        <v>(A.)3萬元以上15萬元以下。</v>
      </c>
      <c r="D293" s="2"/>
      <c r="E293" s="2"/>
      <c r="F293" s="2"/>
      <c r="G293" s="2"/>
      <c r="H293" s="2"/>
      <c r="I293" s="2"/>
    </row>
    <row r="294" spans="1:9" s="3" customFormat="1" x14ac:dyDescent="0.3">
      <c r="A294" s="2"/>
      <c r="B294" s="1"/>
      <c r="C294" s="7" t="str">
        <f>"(B.)"&amp;E292</f>
        <v>(B.)5萬元以上28萬元以下。</v>
      </c>
      <c r="D294" s="2"/>
      <c r="E294" s="2"/>
      <c r="F294" s="2"/>
      <c r="G294" s="2"/>
      <c r="H294" s="2"/>
      <c r="I294" s="2"/>
    </row>
    <row r="295" spans="1:9" s="3" customFormat="1" x14ac:dyDescent="0.3">
      <c r="A295" s="2"/>
      <c r="B295" s="2"/>
      <c r="C295" s="7" t="str">
        <f>"(C.)"&amp;F292</f>
        <v>(C.)8萬元以上38萬元以下.</v>
      </c>
      <c r="D295" s="2"/>
      <c r="E295" s="2"/>
      <c r="F295" s="2"/>
      <c r="G295" s="2"/>
      <c r="H295" s="2"/>
      <c r="I295" s="2"/>
    </row>
    <row r="296" spans="1:9" s="3" customFormat="1" x14ac:dyDescent="0.3">
      <c r="A296" s="2"/>
      <c r="B296" s="2"/>
      <c r="C296" s="7" t="str">
        <f>"(D.)"&amp;G292</f>
        <v>(D.)15萬元以上30萬元以下。</v>
      </c>
      <c r="D296" s="2"/>
      <c r="E296" s="2"/>
      <c r="F296" s="2"/>
      <c r="G296" s="2"/>
      <c r="H296" s="2"/>
      <c r="I296" s="2"/>
    </row>
    <row r="297" spans="1:9" s="3" customFormat="1" x14ac:dyDescent="0.3">
      <c r="A297" s="2"/>
      <c r="B297" s="2"/>
      <c r="C297" s="7" t="str">
        <f>"答案是： "&amp;IF(H292="A",C293,IF(H292="B",C294,IF(H292="C",C295,IF(H292=("D"),C296,"XXXX"))))</f>
        <v>答案是： (A.)3萬元以上15萬元以下。</v>
      </c>
      <c r="D297" s="2"/>
      <c r="E297" s="2"/>
      <c r="F297" s="2"/>
      <c r="G297" s="2"/>
      <c r="H297" s="2"/>
      <c r="I297" s="2"/>
    </row>
    <row r="298" spans="1:9" s="3" customFormat="1" ht="150" x14ac:dyDescent="0.3">
      <c r="A298" s="2"/>
      <c r="B298" s="2"/>
      <c r="C298" s="7" t="str">
        <f>"說明："&amp;I292</f>
        <v>說明：闖入直轄市、縣（市）政府公告之禁止飛行空域（俗稱地方紅區），或違反地方公告之活動時間，其罰鍰額度為「3萬元以上15萬元以下」。
依「民用航空法遙控無人機專章」11之2條罰則：違反第九十九條之十三第二項有關直轄市、縣（市）政府公告之區域、時間及其他管理事項之規定。
【!】5倍、違規進入禁止區域：公共輕度危險 &lt;&lt; 三級 3。</v>
      </c>
      <c r="D298" s="2"/>
      <c r="E298" s="2"/>
      <c r="F298" s="2"/>
      <c r="G298" s="2"/>
      <c r="H298" s="2"/>
      <c r="I298" s="2"/>
    </row>
    <row r="299" spans="1:9" s="3" customFormat="1" ht="90" x14ac:dyDescent="0.3">
      <c r="A299" s="4" t="str">
        <f>dB題庫!A50</f>
        <v>49</v>
      </c>
      <c r="B299" s="4" t="str">
        <f>dB題庫!B50</f>
        <v>遙控無人機之所有人或操作人違反「遙控無人機飛航活動應遵守之規定」者，除禁止其活動，情節重大者並得沒入遙控無人機外，另處多少新臺幣之罰鍰？</v>
      </c>
      <c r="C299" s="4" t="str">
        <f t="shared" si="1"/>
        <v>49.遙控無人機之所有人或操作人違反「遙控無人機飛航活動應遵守之規定」者，除禁止其活動，情節重大者並得沒入遙控無人機外，另處多少新臺幣之罰鍰？</v>
      </c>
      <c r="D299" s="4" t="str">
        <f>dB題庫!C50</f>
        <v>10萬元以上48萬元以下。</v>
      </c>
      <c r="E299" s="4" t="str">
        <f>dB題庫!D50</f>
        <v>8萬元以上38萬元以下。</v>
      </c>
      <c r="F299" s="4" t="str">
        <f>dB題庫!E50</f>
        <v>5萬元以上28萬元以下。</v>
      </c>
      <c r="G299" s="4" t="str">
        <f>dB題庫!F50</f>
        <v>3萬元以上15萬元以下。</v>
      </c>
      <c r="H299" s="4" t="str">
        <f>dB題庫!G50</f>
        <v>D</v>
      </c>
      <c r="I299" s="4" t="str">
        <f>dB題庫!H50</f>
        <v>違反民航法第99條之14一般操作限制規定（如休閒娛樂用途操作人同時控制2架以上、夜間飛行、於人群聚集上空飛行等），處罰基準皆為「3萬元以上15萬元以下」罰鍰。
依「民用航空法遙控無人機專章」118之2條罰則：違反第九十九條之十四第一項第二款至第十款有關遙控無人機飛航活動應遵守之規定。
【!】5倍、違規進入禁止區域：公共輕度危險 &lt;&lt; 三級 3。</v>
      </c>
    </row>
    <row r="300" spans="1:9" s="3" customFormat="1" x14ac:dyDescent="0.3">
      <c r="A300" s="2" t="s">
        <v>541</v>
      </c>
      <c r="B300" s="1"/>
      <c r="C300" s="7" t="str">
        <f>"(A.)"&amp;D299</f>
        <v>(A.)10萬元以上48萬元以下。</v>
      </c>
      <c r="D300" s="2"/>
      <c r="E300" s="2"/>
      <c r="F300" s="2"/>
      <c r="G300" s="2"/>
      <c r="H300" s="2"/>
      <c r="I300" s="2"/>
    </row>
    <row r="301" spans="1:9" s="3" customFormat="1" x14ac:dyDescent="0.3">
      <c r="A301" s="2"/>
      <c r="B301" s="1"/>
      <c r="C301" s="7" t="str">
        <f>"(B.)"&amp;E299</f>
        <v>(B.)8萬元以上38萬元以下。</v>
      </c>
      <c r="D301" s="2"/>
      <c r="E301" s="2"/>
      <c r="F301" s="2"/>
      <c r="G301" s="2"/>
      <c r="H301" s="2"/>
      <c r="I301" s="2"/>
    </row>
    <row r="302" spans="1:9" s="3" customFormat="1" x14ac:dyDescent="0.3">
      <c r="A302" s="2"/>
      <c r="B302" s="2"/>
      <c r="C302" s="7" t="str">
        <f>"(C.)"&amp;F299</f>
        <v>(C.)5萬元以上28萬元以下。</v>
      </c>
      <c r="D302" s="2"/>
      <c r="E302" s="2"/>
      <c r="F302" s="2"/>
      <c r="G302" s="2"/>
      <c r="H302" s="2"/>
      <c r="I302" s="2"/>
    </row>
    <row r="303" spans="1:9" s="3" customFormat="1" x14ac:dyDescent="0.3">
      <c r="A303" s="2"/>
      <c r="B303" s="2"/>
      <c r="C303" s="7" t="str">
        <f>"(D.)"&amp;G299</f>
        <v>(D.)3萬元以上15萬元以下。</v>
      </c>
      <c r="D303" s="2"/>
      <c r="E303" s="2"/>
      <c r="F303" s="2"/>
      <c r="G303" s="2"/>
      <c r="H303" s="2"/>
      <c r="I303" s="2"/>
    </row>
    <row r="304" spans="1:9" s="3" customFormat="1" x14ac:dyDescent="0.3">
      <c r="A304" s="2"/>
      <c r="B304" s="2"/>
      <c r="C304" s="7" t="str">
        <f>"答案是： "&amp;IF(H299="A",C300,IF(H299="B",C301,IF(H299="C",C302,IF(H299=("D"),C303,"XXXX"))))</f>
        <v>答案是： (D.)3萬元以上15萬元以下。</v>
      </c>
      <c r="D304" s="2"/>
      <c r="E304" s="2"/>
      <c r="F304" s="2"/>
      <c r="G304" s="2"/>
      <c r="H304" s="2"/>
      <c r="I304" s="2"/>
    </row>
    <row r="305" spans="1:9" s="3" customFormat="1" ht="135" x14ac:dyDescent="0.3">
      <c r="A305" s="2"/>
      <c r="B305" s="2"/>
      <c r="C305" s="7" t="str">
        <f>"說明："&amp;I299</f>
        <v>說明：違反民航法第99條之14一般操作限制規定（如休閒娛樂用途操作人同時控制2架以上、夜間飛行、於人群聚集上空飛行等），處罰基準皆為「3萬元以上15萬元以下」罰鍰。
依「民用航空法遙控無人機專章」118之2條罰則：違反第九十九條之十四第一項第二款至第十款有關遙控無人機飛航活動應遵守之規定。
【!】5倍、違規進入禁止區域：公共輕度危險 &lt;&lt; 三級 3。</v>
      </c>
      <c r="D305" s="2"/>
      <c r="E305" s="2"/>
      <c r="F305" s="2"/>
      <c r="G305" s="2"/>
      <c r="H305" s="2"/>
      <c r="I305" s="2"/>
    </row>
    <row r="306" spans="1:9" s="3" customFormat="1" ht="90" x14ac:dyDescent="0.3">
      <c r="A306" s="4" t="str">
        <f>dB題庫!A51</f>
        <v>50</v>
      </c>
      <c r="B306" s="4" t="str">
        <f>dB題庫!B51</f>
        <v>違反「射頻識別、檢驗、認可、維修與檢查、飛航活動之活動許可及內容、製造者與進口者之登錄及責任、飛航安全相關事件之通報等事項」規定者，除禁止其活動，情節重大者並得沒入遙控無人機外，另處多少新臺幣之罰鍰？</v>
      </c>
      <c r="C306" s="4" t="str">
        <f t="shared" si="1"/>
        <v>50.違反「射頻識別、檢驗、認可、維修與檢查、飛航活動之活動許可及內容、製造者與進口者之登錄及責任、飛航安全相關事件之通報等事項」規定者，除禁止其活動，情節重大者並得沒入遙控無人機外，另處多少新臺幣之罰鍰？</v>
      </c>
      <c r="D306" s="4" t="str">
        <f>dB題庫!C51</f>
        <v>1萬元以上150萬元以下。</v>
      </c>
      <c r="E306" s="4" t="str">
        <f>dB題庫!D51</f>
        <v>5萬元以上498萬元以下。</v>
      </c>
      <c r="F306" s="4" t="str">
        <f>dB題庫!E51</f>
        <v>8萬元以上798萬元以下。</v>
      </c>
      <c r="G306" s="4" t="str">
        <f>dB題庫!F51</f>
        <v>10萬元以上998萬元以下。</v>
      </c>
      <c r="H306" s="4" t="str">
        <f>dB題庫!G51</f>
        <v>A</v>
      </c>
      <c r="I306" s="4" t="str">
        <f>dB題庫!H51</f>
        <v>針對無人機製造商、進口商未登錄資訊，或是所有人未遵守射頻識別、定期維修檢查、事故未通報等全面管理條款，處罰級距涵蓋範圍較廣，依法處「1萬元以上150萬元以下」罰鍰。
【!】150 倍、違反綜合規定：公共綜合危險 &lt;&lt; 數級 1 - 150。</v>
      </c>
    </row>
    <row r="307" spans="1:9" s="3" customFormat="1" x14ac:dyDescent="0.3">
      <c r="A307" s="2" t="s">
        <v>541</v>
      </c>
      <c r="B307" s="1"/>
      <c r="C307" s="7" t="str">
        <f>"(A.)"&amp;D306</f>
        <v>(A.)1萬元以上150萬元以下。</v>
      </c>
      <c r="D307" s="2"/>
      <c r="E307" s="2"/>
      <c r="F307" s="2"/>
      <c r="G307" s="2"/>
      <c r="H307" s="2"/>
      <c r="I307" s="2"/>
    </row>
    <row r="308" spans="1:9" s="3" customFormat="1" x14ac:dyDescent="0.3">
      <c r="A308" s="2"/>
      <c r="B308" s="1"/>
      <c r="C308" s="7" t="str">
        <f>"(B.)"&amp;E306</f>
        <v>(B.)5萬元以上498萬元以下。</v>
      </c>
      <c r="D308" s="2"/>
      <c r="E308" s="2"/>
      <c r="F308" s="2"/>
      <c r="G308" s="2"/>
      <c r="H308" s="2"/>
      <c r="I308" s="2"/>
    </row>
    <row r="309" spans="1:9" s="3" customFormat="1" x14ac:dyDescent="0.3">
      <c r="A309" s="2"/>
      <c r="B309" s="2"/>
      <c r="C309" s="7" t="str">
        <f>"(C.)"&amp;F306</f>
        <v>(C.)8萬元以上798萬元以下。</v>
      </c>
      <c r="D309" s="2"/>
      <c r="E309" s="2"/>
      <c r="F309" s="2"/>
      <c r="G309" s="2"/>
      <c r="H309" s="2"/>
      <c r="I309" s="2"/>
    </row>
    <row r="310" spans="1:9" s="3" customFormat="1" x14ac:dyDescent="0.3">
      <c r="A310" s="2"/>
      <c r="B310" s="2"/>
      <c r="C310" s="7" t="str">
        <f>"(D.)"&amp;G306</f>
        <v>(D.)10萬元以上998萬元以下。</v>
      </c>
      <c r="D310" s="2"/>
      <c r="E310" s="2"/>
      <c r="F310" s="2"/>
      <c r="G310" s="2"/>
      <c r="H310" s="2"/>
      <c r="I310" s="2"/>
    </row>
    <row r="311" spans="1:9" s="3" customFormat="1" x14ac:dyDescent="0.3">
      <c r="A311" s="2"/>
      <c r="B311" s="2"/>
      <c r="C311" s="7" t="str">
        <f>"答案是： "&amp;IF(H306="A",C307,IF(H306="B",C308,IF(H306="C",C309,IF(H306=("D"),C310,"XXXX"))))</f>
        <v>答案是： (A.)1萬元以上150萬元以下。</v>
      </c>
      <c r="D311" s="2"/>
      <c r="E311" s="2"/>
      <c r="F311" s="2"/>
      <c r="G311" s="2"/>
      <c r="H311" s="2"/>
      <c r="I311" s="2"/>
    </row>
    <row r="312" spans="1:9" s="3" customFormat="1" ht="105" x14ac:dyDescent="0.3">
      <c r="A312" s="2"/>
      <c r="B312" s="2"/>
      <c r="C312" s="7" t="str">
        <f>"說明："&amp;I306</f>
        <v>說明：針對無人機製造商、進口商未登錄資訊，或是所有人未遵守射頻識別、定期維修檢查、事故未通報等全面管理條款，處罰級距涵蓋範圍較廣，依法處「1萬元以上150萬元以下」罰鍰。
【!】150 倍、違反綜合規定：公共綜合危險 &lt;&lt; 數級 1 - 150。</v>
      </c>
      <c r="D312" s="2"/>
      <c r="E312" s="2"/>
      <c r="F312" s="2"/>
      <c r="G312" s="2"/>
      <c r="H312" s="2"/>
      <c r="I312" s="2"/>
    </row>
    <row r="313" spans="1:9" s="3" customFormat="1" ht="45" x14ac:dyDescent="0.3">
      <c r="A313" s="4" t="str">
        <f>dB題庫!A52</f>
        <v>51</v>
      </c>
      <c r="B313" s="4" t="str">
        <f>dB題庫!B52</f>
        <v>遙控無人機和遙控設備間為操作飛行管理目的之資料鏈接，稱之？</v>
      </c>
      <c r="C313" s="4" t="str">
        <f t="shared" si="1"/>
        <v>51.遙控無人機和遙控設備間為操作飛行管理目的之資料鏈接，稱之？</v>
      </c>
      <c r="D313" s="4" t="str">
        <f>dB題庫!C52</f>
        <v>網路鏈路。</v>
      </c>
      <c r="E313" s="4" t="str">
        <f>dB題庫!D52</f>
        <v>通訊及控制信號鏈路。</v>
      </c>
      <c r="F313" s="4" t="str">
        <f>dB題庫!E52</f>
        <v>電信鏈路。</v>
      </c>
      <c r="G313" s="4" t="str">
        <f>dB題庫!F52</f>
        <v>光纖鏈路。</v>
      </c>
      <c r="H313" s="4" t="str">
        <f>dB題庫!G52</f>
        <v>B</v>
      </c>
      <c r="I313" s="4" t="str">
        <f>dB題庫!H52</f>
        <v>在遙控無人機系統（U A S）中，用以傳遞地面控制站指令至飛機、並將飛機狀態回傳至地面的數據雙向通道，法定且精準的名稱為「通訊及控制信號鏈路」（亦簡稱信號鏈路）。</v>
      </c>
    </row>
    <row r="314" spans="1:9" s="3" customFormat="1" x14ac:dyDescent="0.3">
      <c r="A314" s="2" t="s">
        <v>541</v>
      </c>
      <c r="B314" s="1"/>
      <c r="C314" s="7" t="str">
        <f>"(A.)"&amp;D313</f>
        <v>(A.)網路鏈路。</v>
      </c>
      <c r="D314" s="2"/>
      <c r="E314" s="2"/>
      <c r="F314" s="2"/>
      <c r="G314" s="2"/>
      <c r="H314" s="2"/>
      <c r="I314" s="2"/>
    </row>
    <row r="315" spans="1:9" s="3" customFormat="1" x14ac:dyDescent="0.3">
      <c r="A315" s="2"/>
      <c r="B315" s="1"/>
      <c r="C315" s="7" t="str">
        <f>"(B.)"&amp;E313</f>
        <v>(B.)通訊及控制信號鏈路。</v>
      </c>
      <c r="D315" s="2"/>
      <c r="E315" s="2"/>
      <c r="F315" s="2"/>
      <c r="G315" s="2"/>
      <c r="H315" s="2"/>
      <c r="I315" s="2"/>
    </row>
    <row r="316" spans="1:9" s="3" customFormat="1" x14ac:dyDescent="0.3">
      <c r="A316" s="2"/>
      <c r="B316" s="2"/>
      <c r="C316" s="7" t="str">
        <f>"(C.)"&amp;F313</f>
        <v>(C.)電信鏈路。</v>
      </c>
      <c r="D316" s="2"/>
      <c r="E316" s="2"/>
      <c r="F316" s="2"/>
      <c r="G316" s="2"/>
      <c r="H316" s="2"/>
      <c r="I316" s="2"/>
    </row>
    <row r="317" spans="1:9" s="3" customFormat="1" x14ac:dyDescent="0.3">
      <c r="A317" s="2"/>
      <c r="B317" s="2"/>
      <c r="C317" s="7" t="str">
        <f>"(D.)"&amp;G313</f>
        <v>(D.)光纖鏈路。</v>
      </c>
      <c r="D317" s="2"/>
      <c r="E317" s="2"/>
      <c r="F317" s="2"/>
      <c r="G317" s="2"/>
      <c r="H317" s="2"/>
      <c r="I317" s="2"/>
    </row>
    <row r="318" spans="1:9" s="3" customFormat="1" x14ac:dyDescent="0.3">
      <c r="A318" s="2"/>
      <c r="B318" s="2"/>
      <c r="C318" s="7" t="str">
        <f>"答案是： "&amp;IF(H313="A",C314,IF(H313="B",C315,IF(H313="C",C316,IF(H313=("D"),C317,"XXXX"))))</f>
        <v>答案是： (B.)通訊及控制信號鏈路。</v>
      </c>
      <c r="D318" s="2"/>
      <c r="E318" s="2"/>
      <c r="F318" s="2"/>
      <c r="G318" s="2"/>
      <c r="H318" s="2"/>
      <c r="I318" s="2"/>
    </row>
    <row r="319" spans="1:9" s="3" customFormat="1" ht="75" x14ac:dyDescent="0.3">
      <c r="A319" s="2"/>
      <c r="B319" s="2"/>
      <c r="C319" s="7" t="str">
        <f>"說明："&amp;I313</f>
        <v>說明：在遙控無人機系統（U A S）中，用以傳遞地面控制站指令至飛機、並將飛機狀態回傳至地面的數據雙向通道，法定且精準的名稱為「通訊及控制信號鏈路」（亦簡稱信號鏈路）。</v>
      </c>
      <c r="D319" s="2"/>
      <c r="E319" s="2"/>
      <c r="F319" s="2"/>
      <c r="G319" s="2"/>
      <c r="H319" s="2"/>
      <c r="I319" s="2"/>
    </row>
    <row r="320" spans="1:9" s="3" customFormat="1" ht="60" x14ac:dyDescent="0.3">
      <c r="A320" s="4" t="str">
        <f>dB題庫!A53</f>
        <v>52</v>
      </c>
      <c r="B320" s="4" t="str">
        <f>dB題庫!B53</f>
        <v>計算遙控無人機之最大起飛重量(MTOW)，應包含下列哪些重量？</v>
      </c>
      <c r="C320" s="4" t="str">
        <f t="shared" si="1"/>
        <v>52.計算遙控無人機之最大起飛重量(MTOW)，應包含下列哪些重量？</v>
      </c>
      <c r="D320" s="4" t="str">
        <f>dB題庫!C53</f>
        <v>機體。</v>
      </c>
      <c r="E320" s="4" t="str">
        <f>dB題庫!D53</f>
        <v>燃料、電池。</v>
      </c>
      <c r="F320" s="4" t="str">
        <f>dB題庫!E53</f>
        <v>負載設備、酬載。</v>
      </c>
      <c r="G320" s="4" t="str">
        <f>dB題庫!F53</f>
        <v>以上皆是。</v>
      </c>
      <c r="H320" s="4" t="str">
        <f>dB題庫!G53</f>
        <v>D</v>
      </c>
      <c r="I320" s="4" t="str">
        <f>dB題庫!H53</f>
        <v>最大起飛重量（Maximum Takeoff Weight, M T O W）是指航空器在結構與動力限制下可以安全起飛的總重量極限。其計算必須將空機「機體」、消耗性的「燃料/電池」以及所掛載的「相機酬載或外掛設備」全面加總，故選 (D)。</v>
      </c>
    </row>
    <row r="321" spans="1:9" s="3" customFormat="1" x14ac:dyDescent="0.3">
      <c r="A321" s="2" t="s">
        <v>541</v>
      </c>
      <c r="B321" s="1"/>
      <c r="C321" s="7" t="str">
        <f>"(A.)"&amp;D320</f>
        <v>(A.)機體。</v>
      </c>
      <c r="D321" s="2"/>
      <c r="E321" s="2"/>
      <c r="F321" s="2"/>
      <c r="G321" s="2"/>
      <c r="H321" s="2"/>
      <c r="I321" s="2"/>
    </row>
    <row r="322" spans="1:9" s="3" customFormat="1" x14ac:dyDescent="0.3">
      <c r="A322" s="2"/>
      <c r="B322" s="1"/>
      <c r="C322" s="7" t="str">
        <f>"(B.)"&amp;E320</f>
        <v>(B.)燃料、電池。</v>
      </c>
      <c r="D322" s="2"/>
      <c r="E322" s="2"/>
      <c r="F322" s="2"/>
      <c r="G322" s="2"/>
      <c r="H322" s="2"/>
      <c r="I322" s="2"/>
    </row>
    <row r="323" spans="1:9" s="3" customFormat="1" x14ac:dyDescent="0.3">
      <c r="A323" s="2"/>
      <c r="B323" s="2"/>
      <c r="C323" s="7" t="str">
        <f>"(C.)"&amp;F320</f>
        <v>(C.)負載設備、酬載。</v>
      </c>
      <c r="D323" s="2"/>
      <c r="E323" s="2"/>
      <c r="F323" s="2"/>
      <c r="G323" s="2"/>
      <c r="H323" s="2"/>
      <c r="I323" s="2"/>
    </row>
    <row r="324" spans="1:9" s="3" customFormat="1" x14ac:dyDescent="0.3">
      <c r="A324" s="2"/>
      <c r="B324" s="2"/>
      <c r="C324" s="7" t="str">
        <f>"(D.)"&amp;G320</f>
        <v>(D.)以上皆是。</v>
      </c>
      <c r="D324" s="2"/>
      <c r="E324" s="2"/>
      <c r="F324" s="2"/>
      <c r="G324" s="2"/>
      <c r="H324" s="2"/>
      <c r="I324" s="2"/>
    </row>
    <row r="325" spans="1:9" s="3" customFormat="1" x14ac:dyDescent="0.3">
      <c r="A325" s="2"/>
      <c r="B325" s="2"/>
      <c r="C325" s="7" t="str">
        <f>"答案是： "&amp;IF(H320="A",C321,IF(H320="B",C322,IF(H320="C",C323,IF(H320=("D"),C324,"XXXX"))))</f>
        <v>答案是： (D.)以上皆是。</v>
      </c>
      <c r="D325" s="2"/>
      <c r="E325" s="2"/>
      <c r="F325" s="2"/>
      <c r="G325" s="2"/>
      <c r="H325" s="2"/>
      <c r="I325" s="2"/>
    </row>
    <row r="326" spans="1:9" s="3" customFormat="1" ht="90" x14ac:dyDescent="0.3">
      <c r="A326" s="2"/>
      <c r="B326" s="2"/>
      <c r="C326" s="7" t="str">
        <f>"說明："&amp;I320</f>
        <v>說明：最大起飛重量（Maximum Takeoff Weight, M T O W）是指航空器在結構與動力限制下可以安全起飛的總重量極限。其計算必須將空機「機體」、消耗性的「燃料/電池」以及所掛載的「相機酬載或外掛設備」全面加總，故選 (D)。</v>
      </c>
      <c r="D326" s="2"/>
      <c r="E326" s="2"/>
      <c r="F326" s="2"/>
      <c r="G326" s="2"/>
      <c r="H326" s="2"/>
      <c r="I326" s="2"/>
    </row>
    <row r="327" spans="1:9" s="3" customFormat="1" ht="45" x14ac:dyDescent="0.3">
      <c r="A327" s="4" t="str">
        <f>dB題庫!A54</f>
        <v>53</v>
      </c>
      <c r="B327" s="4" t="str">
        <f>dB題庫!B54</f>
        <v>依據法規定義，於遙控無人機飛航活動期間，實際操控遙控無人機或指揮監督飛航活動之人員稱之？</v>
      </c>
      <c r="C327" s="4" t="str">
        <f t="shared" si="1"/>
        <v>53.依據法規定義，於遙控無人機飛航活動期間，實際操控遙控無人機或指揮監督飛航活動之人員稱之？</v>
      </c>
      <c r="D327" s="4" t="str">
        <f>dB題庫!C54</f>
        <v>目視觀察員。</v>
      </c>
      <c r="E327" s="4" t="str">
        <f>dB題庫!D54</f>
        <v>遙控無人機操作人。</v>
      </c>
      <c r="F327" s="4" t="str">
        <f>dB題庫!E54</f>
        <v>任務協調員。</v>
      </c>
      <c r="G327" s="4" t="str">
        <f>dB題庫!F54</f>
        <v>以上皆非。</v>
      </c>
      <c r="H327" s="4" t="str">
        <f>dB題庫!G54</f>
        <v>B</v>
      </c>
      <c r="I327" s="4" t="str">
        <f>dB題庫!H54</f>
        <v>法規上對「操作人」的精準定義，是指於飛行過程中手上握有控制桿進行「實際操控」的人，或是對整趟自動駕駛飛行負起「指揮監督」責任的核心人員。</v>
      </c>
    </row>
    <row r="328" spans="1:9" s="3" customFormat="1" x14ac:dyDescent="0.3">
      <c r="A328" s="2" t="s">
        <v>541</v>
      </c>
      <c r="B328" s="1"/>
      <c r="C328" s="7" t="str">
        <f>"(A.)"&amp;D327</f>
        <v>(A.)目視觀察員。</v>
      </c>
      <c r="D328" s="2"/>
      <c r="E328" s="2"/>
      <c r="F328" s="2"/>
      <c r="G328" s="2"/>
      <c r="H328" s="2"/>
      <c r="I328" s="2"/>
    </row>
    <row r="329" spans="1:9" s="3" customFormat="1" x14ac:dyDescent="0.3">
      <c r="A329" s="2"/>
      <c r="B329" s="1"/>
      <c r="C329" s="7" t="str">
        <f>"(B.)"&amp;E327</f>
        <v>(B.)遙控無人機操作人。</v>
      </c>
      <c r="D329" s="2"/>
      <c r="E329" s="2"/>
      <c r="F329" s="2"/>
      <c r="G329" s="2"/>
      <c r="H329" s="2"/>
      <c r="I329" s="2"/>
    </row>
    <row r="330" spans="1:9" s="3" customFormat="1" x14ac:dyDescent="0.3">
      <c r="A330" s="2"/>
      <c r="B330" s="2"/>
      <c r="C330" s="7" t="str">
        <f>"(C.)"&amp;F327</f>
        <v>(C.)任務協調員。</v>
      </c>
      <c r="D330" s="2"/>
      <c r="E330" s="2"/>
      <c r="F330" s="2"/>
      <c r="G330" s="2"/>
      <c r="H330" s="2"/>
      <c r="I330" s="2"/>
    </row>
    <row r="331" spans="1:9" s="3" customFormat="1" x14ac:dyDescent="0.3">
      <c r="A331" s="2"/>
      <c r="B331" s="2"/>
      <c r="C331" s="7" t="str">
        <f>"(D.)"&amp;G327</f>
        <v>(D.)以上皆非。</v>
      </c>
      <c r="D331" s="2"/>
      <c r="E331" s="2"/>
      <c r="F331" s="2"/>
      <c r="G331" s="2"/>
      <c r="H331" s="2"/>
      <c r="I331" s="2"/>
    </row>
    <row r="332" spans="1:9" s="3" customFormat="1" x14ac:dyDescent="0.3">
      <c r="A332" s="2"/>
      <c r="B332" s="2"/>
      <c r="C332" s="7" t="str">
        <f>"答案是： "&amp;IF(H327="A",C328,IF(H327="B",C329,IF(H327="C",C330,IF(H327=("D"),C331,"XXXX"))))</f>
        <v>答案是： (B.)遙控無人機操作人。</v>
      </c>
      <c r="D332" s="2"/>
      <c r="E332" s="2"/>
      <c r="F332" s="2"/>
      <c r="G332" s="2"/>
      <c r="H332" s="2"/>
      <c r="I332" s="2"/>
    </row>
    <row r="333" spans="1:9" s="3" customFormat="1" ht="60" x14ac:dyDescent="0.3">
      <c r="A333" s="2"/>
      <c r="B333" s="2"/>
      <c r="C333" s="7" t="str">
        <f>"說明："&amp;I327</f>
        <v>說明：法規上對「操作人」的精準定義，是指於飛行過程中手上握有控制桿進行「實際操控」的人，或是對整趟自動駕駛飛行負起「指揮監督」責任的核心人員。</v>
      </c>
      <c r="D333" s="2"/>
      <c r="E333" s="2"/>
      <c r="F333" s="2"/>
      <c r="G333" s="2"/>
      <c r="H333" s="2"/>
      <c r="I333" s="2"/>
    </row>
    <row r="334" spans="1:9" s="3" customFormat="1" ht="45" x14ac:dyDescent="0.3">
      <c r="A334" s="4" t="str">
        <f>dB題庫!A55</f>
        <v>54</v>
      </c>
      <c r="B334" s="4" t="str">
        <f>dB題庫!B55</f>
        <v>依據法規定義，持有遙控無人機操作證並於遙控無人機活動期間，提供實際操控遙控無人機操作人必要飛航資訊之人員稱之？</v>
      </c>
      <c r="C334" s="4" t="str">
        <f t="shared" si="1"/>
        <v>54.依據法規定義，持有遙控無人機操作證並於遙控無人機活動期間，提供實際操控遙控無人機操作人必要飛航資訊之人員稱之？</v>
      </c>
      <c r="D334" s="4" t="str">
        <f>dB題庫!C55</f>
        <v>設計者。</v>
      </c>
      <c r="E334" s="4" t="str">
        <f>dB題庫!D55</f>
        <v>目視觀察員。</v>
      </c>
      <c r="F334" s="4" t="str">
        <f>dB題庫!E55</f>
        <v>製造者。</v>
      </c>
      <c r="G334" s="4" t="str">
        <f>dB題庫!F55</f>
        <v>遙控無人機所有人。</v>
      </c>
      <c r="H334" s="4" t="str">
        <f>dB題庫!G55</f>
        <v>B</v>
      </c>
      <c r="I334" s="4" t="str">
        <f>dB題庫!H55</f>
        <v>當操作人進行特定飛行（如非目視飛行）時，常需配置「目視觀察員」。其職責是運用肉眼擴大監視範圍，隨時向手持遙控器的操作人通報空中的鳥類、飛機及周遭威脅等必要飛航資訊。</v>
      </c>
    </row>
    <row r="335" spans="1:9" s="3" customFormat="1" x14ac:dyDescent="0.3">
      <c r="A335" s="2" t="s">
        <v>541</v>
      </c>
      <c r="B335" s="1"/>
      <c r="C335" s="7" t="str">
        <f>"(A.)"&amp;D334</f>
        <v>(A.)設計者。</v>
      </c>
      <c r="D335" s="2"/>
      <c r="E335" s="2"/>
      <c r="F335" s="2"/>
      <c r="G335" s="2"/>
      <c r="H335" s="2"/>
      <c r="I335" s="2"/>
    </row>
    <row r="336" spans="1:9" s="3" customFormat="1" x14ac:dyDescent="0.3">
      <c r="A336" s="2"/>
      <c r="B336" s="1"/>
      <c r="C336" s="7" t="str">
        <f>"(B.)"&amp;E334</f>
        <v>(B.)目視觀察員。</v>
      </c>
      <c r="D336" s="2"/>
      <c r="E336" s="2"/>
      <c r="F336" s="2"/>
      <c r="G336" s="2"/>
      <c r="H336" s="2"/>
      <c r="I336" s="2"/>
    </row>
    <row r="337" spans="1:9" s="3" customFormat="1" x14ac:dyDescent="0.3">
      <c r="A337" s="2"/>
      <c r="B337" s="2"/>
      <c r="C337" s="7" t="str">
        <f>"(C.)"&amp;F334</f>
        <v>(C.)製造者。</v>
      </c>
      <c r="D337" s="2"/>
      <c r="E337" s="2"/>
      <c r="F337" s="2"/>
      <c r="G337" s="2"/>
      <c r="H337" s="2"/>
      <c r="I337" s="2"/>
    </row>
    <row r="338" spans="1:9" s="3" customFormat="1" x14ac:dyDescent="0.3">
      <c r="A338" s="2"/>
      <c r="B338" s="2"/>
      <c r="C338" s="7" t="str">
        <f>"(D.)"&amp;G334</f>
        <v>(D.)遙控無人機所有人。</v>
      </c>
      <c r="D338" s="2"/>
      <c r="E338" s="2"/>
      <c r="F338" s="2"/>
      <c r="G338" s="2"/>
      <c r="H338" s="2"/>
      <c r="I338" s="2"/>
    </row>
    <row r="339" spans="1:9" s="3" customFormat="1" x14ac:dyDescent="0.3">
      <c r="A339" s="2"/>
      <c r="B339" s="2"/>
      <c r="C339" s="7" t="str">
        <f>"答案是： "&amp;IF(H334="A",C335,IF(H334="B",C336,IF(H334="C",C337,IF(H334=("D"),C338,"XXXX"))))</f>
        <v>答案是： (B.)目視觀察員。</v>
      </c>
      <c r="D339" s="2"/>
      <c r="E339" s="2"/>
      <c r="F339" s="2"/>
      <c r="G339" s="2"/>
      <c r="H339" s="2"/>
      <c r="I339" s="2"/>
    </row>
    <row r="340" spans="1:9" s="3" customFormat="1" ht="75" x14ac:dyDescent="0.3">
      <c r="A340" s="2"/>
      <c r="B340" s="2"/>
      <c r="C340" s="7" t="str">
        <f>"說明："&amp;I334</f>
        <v>說明：當操作人進行特定飛行（如非目視飛行）時，常需配置「目視觀察員」。其職責是運用肉眼擴大監視範圍，隨時向手持遙控器的操作人通報空中的鳥類、飛機及周遭威脅等必要飛航資訊。</v>
      </c>
      <c r="D340" s="2"/>
      <c r="E340" s="2"/>
      <c r="F340" s="2"/>
      <c r="G340" s="2"/>
      <c r="H340" s="2"/>
      <c r="I340" s="2"/>
    </row>
    <row r="341" spans="1:9" s="3" customFormat="1" ht="45" x14ac:dyDescent="0.3">
      <c r="A341" s="4" t="str">
        <f>dB題庫!A56</f>
        <v>55</v>
      </c>
      <c r="B341" s="4" t="str">
        <f>dB題庫!B56</f>
        <v>遙控無人機依其構造可分為哪幾種？</v>
      </c>
      <c r="C341" s="4" t="str">
        <f t="shared" si="1"/>
        <v>55.遙控無人機依其構造可分為哪幾種？</v>
      </c>
      <c r="D341" s="4" t="str">
        <f>dB題庫!C56</f>
        <v>無人飛機。</v>
      </c>
      <c r="E341" s="4" t="str">
        <f>dB題庫!D56</f>
        <v>無人直昇機。</v>
      </c>
      <c r="F341" s="4" t="str">
        <f>dB題庫!E56</f>
        <v>無人多旋翼機。</v>
      </c>
      <c r="G341" s="4" t="str">
        <f>dB題庫!F56</f>
        <v>以上皆是。</v>
      </c>
      <c r="H341" s="4" t="str">
        <f>dB題庫!G56</f>
        <v>D</v>
      </c>
      <c r="I341" s="4" t="str">
        <f>dB題庫!H56</f>
        <v>現行管理規則中依據無人機的空氣動力學結構特徵，主要劃分為三大類：固定翼的「無人飛機」、單旋翼帶尾槳的「無人直昇機」以及多軸構造的「無人多旋翼機」，故選 (D)。</v>
      </c>
    </row>
    <row r="342" spans="1:9" s="3" customFormat="1" x14ac:dyDescent="0.3">
      <c r="A342" s="2" t="s">
        <v>541</v>
      </c>
      <c r="B342" s="1"/>
      <c r="C342" s="7" t="str">
        <f>"(A.)"&amp;D341</f>
        <v>(A.)無人飛機。</v>
      </c>
      <c r="D342" s="2"/>
      <c r="E342" s="2"/>
      <c r="F342" s="2"/>
      <c r="G342" s="2"/>
      <c r="H342" s="2"/>
      <c r="I342" s="2"/>
    </row>
    <row r="343" spans="1:9" s="3" customFormat="1" x14ac:dyDescent="0.3">
      <c r="A343" s="2"/>
      <c r="B343" s="1"/>
      <c r="C343" s="7" t="str">
        <f>"(B.)"&amp;E341</f>
        <v>(B.)無人直昇機。</v>
      </c>
      <c r="D343" s="2"/>
      <c r="E343" s="2"/>
      <c r="F343" s="2"/>
      <c r="G343" s="2"/>
      <c r="H343" s="2"/>
      <c r="I343" s="2"/>
    </row>
    <row r="344" spans="1:9" s="3" customFormat="1" x14ac:dyDescent="0.3">
      <c r="A344" s="2"/>
      <c r="B344" s="2"/>
      <c r="C344" s="7" t="str">
        <f>"(C.)"&amp;F341</f>
        <v>(C.)無人多旋翼機。</v>
      </c>
      <c r="D344" s="2"/>
      <c r="E344" s="2"/>
      <c r="F344" s="2"/>
      <c r="G344" s="2"/>
      <c r="H344" s="2"/>
      <c r="I344" s="2"/>
    </row>
    <row r="345" spans="1:9" s="3" customFormat="1" x14ac:dyDescent="0.3">
      <c r="A345" s="2"/>
      <c r="B345" s="2"/>
      <c r="C345" s="7" t="str">
        <f>"(D.)"&amp;G341</f>
        <v>(D.)以上皆是。</v>
      </c>
      <c r="D345" s="2"/>
      <c r="E345" s="2"/>
      <c r="F345" s="2"/>
      <c r="G345" s="2"/>
      <c r="H345" s="2"/>
      <c r="I345" s="2"/>
    </row>
    <row r="346" spans="1:9" s="3" customFormat="1" x14ac:dyDescent="0.3">
      <c r="A346" s="2"/>
      <c r="B346" s="2"/>
      <c r="C346" s="7" t="str">
        <f>"答案是： "&amp;IF(H341="A",C342,IF(H341="B",C343,IF(H341="C",C344,IF(H341=("D"),C345,"XXXX"))))</f>
        <v>答案是： (D.)以上皆是。</v>
      </c>
      <c r="D346" s="2"/>
      <c r="E346" s="2"/>
      <c r="F346" s="2"/>
      <c r="G346" s="2"/>
      <c r="H346" s="2"/>
      <c r="I346" s="2"/>
    </row>
    <row r="347" spans="1:9" s="3" customFormat="1" ht="75" x14ac:dyDescent="0.3">
      <c r="A347" s="2"/>
      <c r="B347" s="2"/>
      <c r="C347" s="7" t="str">
        <f>"說明："&amp;I341</f>
        <v>說明：現行管理規則中依據無人機的空氣動力學結構特徵，主要劃分為三大類：固定翼的「無人飛機」、單旋翼帶尾槳的「無人直昇機」以及多軸構造的「無人多旋翼機」，故選 (D)。</v>
      </c>
      <c r="D347" s="2"/>
      <c r="E347" s="2"/>
      <c r="F347" s="2"/>
      <c r="G347" s="2"/>
      <c r="H347" s="2"/>
      <c r="I347" s="2"/>
    </row>
    <row r="348" spans="1:9" s="3" customFormat="1" ht="45" x14ac:dyDescent="0.3">
      <c r="A348" s="4" t="str">
        <f>dB題庫!A57</f>
        <v>56</v>
      </c>
      <c r="B348" s="4" t="str">
        <f>dB題庫!B57</f>
        <v>無人多旋翼機具有幾個以上之垂直傳動軸？</v>
      </c>
      <c r="C348" s="4" t="str">
        <f t="shared" si="1"/>
        <v>56.無人多旋翼機具有幾個以上之垂直傳動軸？</v>
      </c>
      <c r="D348" s="4" t="str">
        <f>dB題庫!C57</f>
        <v>2個以上。</v>
      </c>
      <c r="E348" s="4" t="str">
        <f>dB題庫!D57</f>
        <v>3個以上。</v>
      </c>
      <c r="F348" s="4" t="str">
        <f>dB題庫!E57</f>
        <v>4個以上。</v>
      </c>
      <c r="G348" s="4" t="str">
        <f>dB題庫!F57</f>
        <v>6個以上。</v>
      </c>
      <c r="H348" s="4" t="str">
        <f>dB題庫!G57</f>
        <v>B</v>
      </c>
      <c r="I348" s="4" t="str">
        <f>dB題庫!H57</f>
        <v>市面上常見的多旋翼雖以四軸、六軸或八軸為主，但法規上對於多旋翼的定義基準線，是只要具備「3個以上」之垂直傳動軸，藉由彼此間的轉速協調控制姿態者，即歸類為多旋翼機。</v>
      </c>
    </row>
    <row r="349" spans="1:9" s="3" customFormat="1" x14ac:dyDescent="0.3">
      <c r="A349" s="2" t="s">
        <v>541</v>
      </c>
      <c r="B349" s="1"/>
      <c r="C349" s="7" t="str">
        <f>"(A.)"&amp;D348</f>
        <v>(A.)2個以上。</v>
      </c>
      <c r="D349" s="2"/>
      <c r="E349" s="2"/>
      <c r="F349" s="2"/>
      <c r="G349" s="2"/>
      <c r="H349" s="2"/>
      <c r="I349" s="2"/>
    </row>
    <row r="350" spans="1:9" s="3" customFormat="1" x14ac:dyDescent="0.3">
      <c r="A350" s="2"/>
      <c r="B350" s="1"/>
      <c r="C350" s="7" t="str">
        <f>"(B.)"&amp;E348</f>
        <v>(B.)3個以上。</v>
      </c>
      <c r="D350" s="2"/>
      <c r="E350" s="2"/>
      <c r="F350" s="2"/>
      <c r="G350" s="2"/>
      <c r="H350" s="2"/>
      <c r="I350" s="2"/>
    </row>
    <row r="351" spans="1:9" s="3" customFormat="1" x14ac:dyDescent="0.3">
      <c r="A351" s="2"/>
      <c r="B351" s="2"/>
      <c r="C351" s="7" t="str">
        <f>"(C.)"&amp;F348</f>
        <v>(C.)4個以上。</v>
      </c>
      <c r="D351" s="2"/>
      <c r="E351" s="2"/>
      <c r="F351" s="2"/>
      <c r="G351" s="2"/>
      <c r="H351" s="2"/>
      <c r="I351" s="2"/>
    </row>
    <row r="352" spans="1:9" s="3" customFormat="1" x14ac:dyDescent="0.3">
      <c r="A352" s="2"/>
      <c r="B352" s="2"/>
      <c r="C352" s="7" t="str">
        <f>"(D.)"&amp;G348</f>
        <v>(D.)6個以上。</v>
      </c>
      <c r="D352" s="2"/>
      <c r="E352" s="2"/>
      <c r="F352" s="2"/>
      <c r="G352" s="2"/>
      <c r="H352" s="2"/>
      <c r="I352" s="2"/>
    </row>
    <row r="353" spans="1:9" s="3" customFormat="1" x14ac:dyDescent="0.3">
      <c r="A353" s="2"/>
      <c r="B353" s="2"/>
      <c r="C353" s="7" t="str">
        <f>"答案是： "&amp;IF(H348="A",C349,IF(H348="B",C350,IF(H348="C",C351,IF(H348=("D"),C352,"XXXX"))))</f>
        <v>答案是： (B.)3個以上。</v>
      </c>
      <c r="D353" s="2"/>
      <c r="E353" s="2"/>
      <c r="F353" s="2"/>
      <c r="G353" s="2"/>
      <c r="H353" s="2"/>
      <c r="I353" s="2"/>
    </row>
    <row r="354" spans="1:9" s="3" customFormat="1" ht="75" x14ac:dyDescent="0.3">
      <c r="A354" s="2"/>
      <c r="B354" s="2"/>
      <c r="C354" s="7" t="str">
        <f>"說明："&amp;I348</f>
        <v>說明：市面上常見的多旋翼雖以四軸、六軸或八軸為主，但法規上對於多旋翼的定義基準線，是只要具備「3個以上」之垂直傳動軸，藉由彼此間的轉速協調控制姿態者，即歸類為多旋翼機。</v>
      </c>
      <c r="D354" s="2"/>
      <c r="E354" s="2"/>
      <c r="F354" s="2"/>
      <c r="G354" s="2"/>
      <c r="H354" s="2"/>
      <c r="I354" s="2"/>
    </row>
    <row r="355" spans="1:9" s="3" customFormat="1" ht="45" x14ac:dyDescent="0.3">
      <c r="A355" s="4" t="str">
        <f>dB題庫!A58</f>
        <v>57</v>
      </c>
      <c r="B355" s="4" t="str">
        <f>dB題庫!B58</f>
        <v>何人應負飛航安全之責，對遙控無人機為妥善之維護，並從事安全飛航作業？</v>
      </c>
      <c r="C355" s="4" t="str">
        <f t="shared" si="1"/>
        <v>57.何人應負飛航安全之責，對遙控無人機為妥善之維護，並從事安全飛航作業？</v>
      </c>
      <c r="D355" s="4" t="str">
        <f>dB題庫!C58</f>
        <v>遙控無人機所有人及操作人。</v>
      </c>
      <c r="E355" s="4" t="str">
        <f>dB題庫!D58</f>
        <v>遙控無人機設計者。</v>
      </c>
      <c r="F355" s="4" t="str">
        <f>dB題庫!E58</f>
        <v>遙控無人機製造者。</v>
      </c>
      <c r="G355" s="4" t="str">
        <f>dB題庫!F58</f>
        <v>遙控無人機改裝者。</v>
      </c>
      <c r="H355" s="4" t="str">
        <f>dB題庫!G58</f>
        <v>A</v>
      </c>
      <c r="I355" s="4" t="str">
        <f>dB題庫!H58</f>
        <v>設計、製造、改裝者負責的是出廠性能，而機器一旦進入實際飛行階段，依法「所有人」（負責提供妥善機體維修維護）與「操作人」（負責當下安全飛航作業規畫）必須共同肩負起最直接的飛航安全責任。</v>
      </c>
    </row>
    <row r="356" spans="1:9" s="3" customFormat="1" x14ac:dyDescent="0.3">
      <c r="A356" s="2" t="s">
        <v>541</v>
      </c>
      <c r="B356" s="1"/>
      <c r="C356" s="7" t="str">
        <f>"(A.)"&amp;D355</f>
        <v>(A.)遙控無人機所有人及操作人。</v>
      </c>
      <c r="D356" s="2"/>
      <c r="E356" s="2"/>
      <c r="F356" s="2"/>
      <c r="G356" s="2"/>
      <c r="H356" s="2"/>
      <c r="I356" s="2"/>
    </row>
    <row r="357" spans="1:9" s="3" customFormat="1" x14ac:dyDescent="0.3">
      <c r="A357" s="2"/>
      <c r="B357" s="1"/>
      <c r="C357" s="7" t="str">
        <f>"(B.)"&amp;E355</f>
        <v>(B.)遙控無人機設計者。</v>
      </c>
      <c r="D357" s="2"/>
      <c r="E357" s="2"/>
      <c r="F357" s="2"/>
      <c r="G357" s="2"/>
      <c r="H357" s="2"/>
      <c r="I357" s="2"/>
    </row>
    <row r="358" spans="1:9" s="3" customFormat="1" x14ac:dyDescent="0.3">
      <c r="A358" s="2"/>
      <c r="B358" s="2"/>
      <c r="C358" s="7" t="str">
        <f>"(C.)"&amp;F355</f>
        <v>(C.)遙控無人機製造者。</v>
      </c>
      <c r="D358" s="2"/>
      <c r="E358" s="2"/>
      <c r="F358" s="2"/>
      <c r="G358" s="2"/>
      <c r="H358" s="2"/>
      <c r="I358" s="2"/>
    </row>
    <row r="359" spans="1:9" s="3" customFormat="1" x14ac:dyDescent="0.3">
      <c r="A359" s="2"/>
      <c r="B359" s="2"/>
      <c r="C359" s="7" t="str">
        <f>"(D.)"&amp;G355</f>
        <v>(D.)遙控無人機改裝者。</v>
      </c>
      <c r="D359" s="2"/>
      <c r="E359" s="2"/>
      <c r="F359" s="2"/>
      <c r="G359" s="2"/>
      <c r="H359" s="2"/>
      <c r="I359" s="2"/>
    </row>
    <row r="360" spans="1:9" s="3" customFormat="1" x14ac:dyDescent="0.3">
      <c r="A360" s="2"/>
      <c r="B360" s="2"/>
      <c r="C360" s="7" t="str">
        <f>"答案是： "&amp;IF(H355="A",C356,IF(H355="B",C357,IF(H355="C",C358,IF(H355=("D"),C359,"XXXX"))))</f>
        <v>答案是： (A.)遙控無人機所有人及操作人。</v>
      </c>
      <c r="D360" s="2"/>
      <c r="E360" s="2"/>
      <c r="F360" s="2"/>
      <c r="G360" s="2"/>
      <c r="H360" s="2"/>
      <c r="I360" s="2"/>
    </row>
    <row r="361" spans="1:9" s="3" customFormat="1" ht="75" x14ac:dyDescent="0.3">
      <c r="A361" s="2"/>
      <c r="B361" s="2"/>
      <c r="C361" s="7" t="str">
        <f>"說明："&amp;I355</f>
        <v>說明：設計、製造、改裝者負責的是出廠性能，而機器一旦進入實際飛行階段，依法「所有人」（負責提供妥善機體維修維護）與「操作人」（負責當下安全飛航作業規畫）必須共同肩負起最直接的飛航安全責任。</v>
      </c>
      <c r="D361" s="2"/>
      <c r="E361" s="2"/>
      <c r="F361" s="2"/>
      <c r="G361" s="2"/>
      <c r="H361" s="2"/>
      <c r="I361" s="2"/>
    </row>
    <row r="362" spans="1:9" s="3" customFormat="1" ht="75" x14ac:dyDescent="0.3">
      <c r="A362" s="4" t="str">
        <f>dB題庫!A59</f>
        <v>58</v>
      </c>
      <c r="B362" s="4" t="str">
        <f>dB題庫!B59</f>
        <v>若遙控無人機飛航活動涉及 2 位以上之操作者，下列敘述何者正確？</v>
      </c>
      <c r="C362" s="4" t="str">
        <f t="shared" si="1"/>
        <v>58.若遙控無人機飛航活動涉及 2 位以上之操作者，下列敘述何者正確？</v>
      </c>
      <c r="D362" s="4" t="str">
        <f>dB題庫!C59</f>
        <v>應指定 1 人為決定權人，使得從事飛航活動。</v>
      </c>
      <c r="E362" s="4" t="str">
        <f>dB題庫!D59</f>
        <v>不須指定決定權人即可從事飛航活動。</v>
      </c>
      <c r="F362" s="4" t="str">
        <f>dB題庫!E59</f>
        <v>是否指定決定權人視任務性質而定。</v>
      </c>
      <c r="G362" s="4" t="str">
        <f>dB題庫!F59</f>
        <v>以上皆非。</v>
      </c>
      <c r="H362" s="4" t="str">
        <f>dB題庫!G59</f>
        <v>A</v>
      </c>
      <c r="I362" s="4" t="str">
        <f>dB題庫!H59</f>
        <v>多人協同操作（例如一人控飛機、另一人控相機雲台，或執行雙機編隊）時，為避免指令衝突或責任歸屬不清，法規明定「必須指定1人為決定權人」，主導整體飛行活動與緊急處置。</v>
      </c>
    </row>
    <row r="363" spans="1:9" s="3" customFormat="1" ht="30" x14ac:dyDescent="0.3">
      <c r="A363" s="2" t="s">
        <v>541</v>
      </c>
      <c r="B363" s="1"/>
      <c r="C363" s="7" t="str">
        <f>"(A.)"&amp;D362</f>
        <v>(A.)應指定 1 人為決定權人，使得從事飛航活動。</v>
      </c>
      <c r="D363" s="2"/>
      <c r="E363" s="2"/>
      <c r="F363" s="2"/>
      <c r="G363" s="2"/>
      <c r="H363" s="2"/>
      <c r="I363" s="2"/>
    </row>
    <row r="364" spans="1:9" s="3" customFormat="1" x14ac:dyDescent="0.3">
      <c r="A364" s="2"/>
      <c r="B364" s="1"/>
      <c r="C364" s="7" t="str">
        <f>"(B.)"&amp;E362</f>
        <v>(B.)不須指定決定權人即可從事飛航活動。</v>
      </c>
      <c r="D364" s="2"/>
      <c r="E364" s="2"/>
      <c r="F364" s="2"/>
      <c r="G364" s="2"/>
      <c r="H364" s="2"/>
      <c r="I364" s="2"/>
    </row>
    <row r="365" spans="1:9" s="3" customFormat="1" x14ac:dyDescent="0.3">
      <c r="A365" s="2"/>
      <c r="B365" s="2"/>
      <c r="C365" s="7" t="str">
        <f>"(C.)"&amp;F362</f>
        <v>(C.)是否指定決定權人視任務性質而定。</v>
      </c>
      <c r="D365" s="2"/>
      <c r="E365" s="2"/>
      <c r="F365" s="2"/>
      <c r="G365" s="2"/>
      <c r="H365" s="2"/>
      <c r="I365" s="2"/>
    </row>
    <row r="366" spans="1:9" s="3" customFormat="1" x14ac:dyDescent="0.3">
      <c r="A366" s="2"/>
      <c r="B366" s="2"/>
      <c r="C366" s="7" t="str">
        <f>"(D.)"&amp;G362</f>
        <v>(D.)以上皆非。</v>
      </c>
      <c r="D366" s="2"/>
      <c r="E366" s="2"/>
      <c r="F366" s="2"/>
      <c r="G366" s="2"/>
      <c r="H366" s="2"/>
      <c r="I366" s="2"/>
    </row>
    <row r="367" spans="1:9" s="3" customFormat="1" ht="30" x14ac:dyDescent="0.3">
      <c r="A367" s="2"/>
      <c r="B367" s="2"/>
      <c r="C367" s="7" t="str">
        <f>"答案是： "&amp;IF(H362="A",C363,IF(H362="B",C364,IF(H362="C",C365,IF(H362=("D"),C366,"XXXX"))))</f>
        <v>答案是： (A.)應指定 1 人為決定權人，使得從事飛航活動。</v>
      </c>
      <c r="D367" s="2"/>
      <c r="E367" s="2"/>
      <c r="F367" s="2"/>
      <c r="G367" s="2"/>
      <c r="H367" s="2"/>
      <c r="I367" s="2"/>
    </row>
    <row r="368" spans="1:9" s="3" customFormat="1" ht="75" x14ac:dyDescent="0.3">
      <c r="A368" s="2"/>
      <c r="B368" s="2"/>
      <c r="C368" s="7" t="str">
        <f>"說明："&amp;I362</f>
        <v>說明：多人協同操作（例如一人控飛機、另一人控相機雲台，或執行雙機編隊）時，為避免指令衝突或責任歸屬不清，法規明定「必須指定1人為決定權人」，主導整體飛行活動與緊急處置。</v>
      </c>
      <c r="D368" s="2"/>
      <c r="E368" s="2"/>
      <c r="F368" s="2"/>
      <c r="G368" s="2"/>
      <c r="H368" s="2"/>
      <c r="I368" s="2"/>
    </row>
    <row r="369" spans="1:9" s="3" customFormat="1" ht="45" x14ac:dyDescent="0.3">
      <c r="A369" s="4" t="str">
        <f>dB題庫!A60</f>
        <v>59</v>
      </c>
      <c r="B369" s="4" t="str">
        <f>dB題庫!B60</f>
        <v>下列何者較適合做為遙控無人機註冊號碼之標明處所？</v>
      </c>
      <c r="C369" s="4" t="str">
        <f t="shared" si="1"/>
        <v>59.下列何者較適合做為遙控無人機註冊號碼之標明處所？</v>
      </c>
      <c r="D369" s="4" t="str">
        <f>dB題庫!C60</f>
        <v>起落架上。</v>
      </c>
      <c r="E369" s="4" t="str">
        <f>dB題庫!D60</f>
        <v>螺旋槳面上。</v>
      </c>
      <c r="F369" s="4" t="str">
        <f>dB題庫!E60</f>
        <v>機身未遮蔽之平整面上。</v>
      </c>
      <c r="G369" s="4" t="str">
        <f>dB題庫!F60</f>
        <v>電池蓋上。</v>
      </c>
      <c r="H369" s="4" t="str">
        <f>dB題庫!G60</f>
        <v>C</v>
      </c>
      <c r="I369" s="4" t="str">
        <f>dB題庫!H60</f>
        <v>註冊號碼的標明原則是必須能清晰辨識且不易脫落。起落架容易損壞更換，螺旋槳會高速旋轉無法辨識，電池蓋會頻繁開閉抽換；因此，最符合規範的位置是「機身未被遮蔽之平整主體表面」。</v>
      </c>
    </row>
    <row r="370" spans="1:9" s="3" customFormat="1" x14ac:dyDescent="0.3">
      <c r="A370" s="2" t="s">
        <v>541</v>
      </c>
      <c r="B370" s="1"/>
      <c r="C370" s="7" t="str">
        <f>"(A.)"&amp;D369</f>
        <v>(A.)起落架上。</v>
      </c>
      <c r="D370" s="2"/>
      <c r="E370" s="2"/>
      <c r="F370" s="2"/>
      <c r="G370" s="2"/>
      <c r="H370" s="2"/>
      <c r="I370" s="2"/>
    </row>
    <row r="371" spans="1:9" s="3" customFormat="1" x14ac:dyDescent="0.3">
      <c r="A371" s="2"/>
      <c r="B371" s="1"/>
      <c r="C371" s="7" t="str">
        <f>"(B.)"&amp;E369</f>
        <v>(B.)螺旋槳面上。</v>
      </c>
      <c r="D371" s="2"/>
      <c r="E371" s="2"/>
      <c r="F371" s="2"/>
      <c r="G371" s="2"/>
      <c r="H371" s="2"/>
      <c r="I371" s="2"/>
    </row>
    <row r="372" spans="1:9" s="3" customFormat="1" x14ac:dyDescent="0.3">
      <c r="A372" s="2"/>
      <c r="B372" s="2"/>
      <c r="C372" s="7" t="str">
        <f>"(C.)"&amp;F369</f>
        <v>(C.)機身未遮蔽之平整面上。</v>
      </c>
      <c r="D372" s="2"/>
      <c r="E372" s="2"/>
      <c r="F372" s="2"/>
      <c r="G372" s="2"/>
      <c r="H372" s="2"/>
      <c r="I372" s="2"/>
    </row>
    <row r="373" spans="1:9" s="3" customFormat="1" x14ac:dyDescent="0.3">
      <c r="A373" s="2"/>
      <c r="B373" s="2"/>
      <c r="C373" s="7" t="str">
        <f>"(D.)"&amp;G369</f>
        <v>(D.)電池蓋上。</v>
      </c>
      <c r="D373" s="2"/>
      <c r="E373" s="2"/>
      <c r="F373" s="2"/>
      <c r="G373" s="2"/>
      <c r="H373" s="2"/>
      <c r="I373" s="2"/>
    </row>
    <row r="374" spans="1:9" s="3" customFormat="1" x14ac:dyDescent="0.3">
      <c r="A374" s="2"/>
      <c r="B374" s="2"/>
      <c r="C374" s="7" t="str">
        <f>"答案是： "&amp;IF(H369="A",C370,IF(H369="B",C371,IF(H369="C",C372,IF(H369=("D"),C373,"XXXX"))))</f>
        <v>答案是： (C.)機身未遮蔽之平整面上。</v>
      </c>
      <c r="D374" s="2"/>
      <c r="E374" s="2"/>
      <c r="F374" s="2"/>
      <c r="G374" s="2"/>
      <c r="H374" s="2"/>
      <c r="I374" s="2"/>
    </row>
    <row r="375" spans="1:9" s="3" customFormat="1" ht="75" x14ac:dyDescent="0.3">
      <c r="A375" s="2"/>
      <c r="B375" s="2"/>
      <c r="C375" s="7" t="str">
        <f>"說明："&amp;I369</f>
        <v>說明：註冊號碼的標明原則是必須能清晰辨識且不易脫落。起落架容易損壞更換，螺旋槳會高速旋轉無法辨識，電池蓋會頻繁開閉抽換；因此，最符合規範的位置是「機身未被遮蔽之平整主體表面」。</v>
      </c>
      <c r="D375" s="2"/>
      <c r="E375" s="2"/>
      <c r="F375" s="2"/>
      <c r="G375" s="2"/>
      <c r="H375" s="2"/>
      <c r="I375" s="2"/>
    </row>
    <row r="376" spans="1:9" s="3" customFormat="1" ht="45" x14ac:dyDescent="0.3">
      <c r="A376" s="4" t="str">
        <f>dB題庫!A61</f>
        <v>60</v>
      </c>
      <c r="B376" s="4" t="str">
        <f>dB題庫!B61</f>
        <v>註冊號碼應以標籤、鐫刻、噴漆或其他能辨識之方式標明，並於每次飛航時符合下列何項要求？</v>
      </c>
      <c r="C376" s="4" t="str">
        <f t="shared" si="1"/>
        <v>60.註冊號碼應以標籤、鐫刻、噴漆或其他能辨識之方式標明，並於每次飛航時符合下列何項要求？</v>
      </c>
      <c r="D376" s="4" t="str">
        <f>dB題庫!C61</f>
        <v>確保不至脫落。</v>
      </c>
      <c r="E376" s="4" t="str">
        <f>dB題庫!D61</f>
        <v>保持清潔。</v>
      </c>
      <c r="F376" s="4" t="str">
        <f>dB題庫!E61</f>
        <v>能明顯辨識。</v>
      </c>
      <c r="G376" s="4" t="str">
        <f>dB題庫!F61</f>
        <v>以上皆是。</v>
      </c>
      <c r="H376" s="4" t="str">
        <f>dB題庫!G61</f>
        <v>D</v>
      </c>
      <c r="I376" s="4" t="str">
        <f>dB題庫!H61</f>
        <v>註冊號碼如同汽車車牌。為落實管理，每次飛航前操作人應檢查其是否牢固（不至脫落）、擦拭污垢（保持清潔），使其處於隨時能被肉眼「明顯辨識」的狀態，故 (A)(B)(C) 皆對。</v>
      </c>
    </row>
    <row r="377" spans="1:9" s="3" customFormat="1" x14ac:dyDescent="0.3">
      <c r="A377" s="2" t="s">
        <v>541</v>
      </c>
      <c r="B377" s="1"/>
      <c r="C377" s="7" t="str">
        <f>"(A.)"&amp;D376</f>
        <v>(A.)確保不至脫落。</v>
      </c>
      <c r="D377" s="2"/>
      <c r="E377" s="2"/>
      <c r="F377" s="2"/>
      <c r="G377" s="2"/>
      <c r="H377" s="2"/>
      <c r="I377" s="2"/>
    </row>
    <row r="378" spans="1:9" s="3" customFormat="1" x14ac:dyDescent="0.3">
      <c r="A378" s="2"/>
      <c r="B378" s="1"/>
      <c r="C378" s="7" t="str">
        <f>"(B.)"&amp;E376</f>
        <v>(B.)保持清潔。</v>
      </c>
      <c r="D378" s="2"/>
      <c r="E378" s="2"/>
      <c r="F378" s="2"/>
      <c r="G378" s="2"/>
      <c r="H378" s="2"/>
      <c r="I378" s="2"/>
    </row>
    <row r="379" spans="1:9" s="3" customFormat="1" x14ac:dyDescent="0.3">
      <c r="A379" s="2"/>
      <c r="B379" s="2"/>
      <c r="C379" s="7" t="str">
        <f>"(C.)"&amp;F376</f>
        <v>(C.)能明顯辨識。</v>
      </c>
      <c r="D379" s="2"/>
      <c r="E379" s="2"/>
      <c r="F379" s="2"/>
      <c r="G379" s="2"/>
      <c r="H379" s="2"/>
      <c r="I379" s="2"/>
    </row>
    <row r="380" spans="1:9" s="3" customFormat="1" x14ac:dyDescent="0.3">
      <c r="A380" s="2"/>
      <c r="B380" s="2"/>
      <c r="C380" s="7" t="str">
        <f>"(D.)"&amp;G376</f>
        <v>(D.)以上皆是。</v>
      </c>
      <c r="D380" s="2"/>
      <c r="E380" s="2"/>
      <c r="F380" s="2"/>
      <c r="G380" s="2"/>
      <c r="H380" s="2"/>
      <c r="I380" s="2"/>
    </row>
    <row r="381" spans="1:9" s="3" customFormat="1" x14ac:dyDescent="0.3">
      <c r="A381" s="2"/>
      <c r="B381" s="2"/>
      <c r="C381" s="7" t="str">
        <f>"答案是： "&amp;IF(H376="A",C377,IF(H376="B",C378,IF(H376="C",C379,IF(H376=("D"),C380,"XXXX"))))</f>
        <v>答案是： (D.)以上皆是。</v>
      </c>
      <c r="D381" s="2"/>
      <c r="E381" s="2"/>
      <c r="F381" s="2"/>
      <c r="G381" s="2"/>
      <c r="H381" s="2"/>
      <c r="I381" s="2"/>
    </row>
    <row r="382" spans="1:9" s="3" customFormat="1" ht="75" x14ac:dyDescent="0.3">
      <c r="A382" s="2"/>
      <c r="B382" s="2"/>
      <c r="C382" s="7" t="str">
        <f>"說明："&amp;I376</f>
        <v>說明：註冊號碼如同汽車車牌。為落實管理，每次飛航前操作人應檢查其是否牢固（不至脫落）、擦拭污垢（保持清潔），使其處於隨時能被肉眼「明顯辨識」的狀態，故 (A)(B)(C) 皆對。</v>
      </c>
      <c r="D382" s="2"/>
      <c r="E382" s="2"/>
      <c r="F382" s="2"/>
      <c r="G382" s="2"/>
      <c r="H382" s="2"/>
      <c r="I382" s="2"/>
    </row>
    <row r="383" spans="1:9" s="3" customFormat="1" ht="45" x14ac:dyDescent="0.3">
      <c r="A383" s="4" t="str">
        <f>dB題庫!A62</f>
        <v>61</v>
      </c>
      <c r="B383" s="4" t="str">
        <f>dB題庫!B62</f>
        <v>遙控無人機註冊號碼之標漆位置依法應位於何處？</v>
      </c>
      <c r="C383" s="4" t="str">
        <f t="shared" si="1"/>
        <v>61.遙控無人機註冊號碼之標漆位置依法應位於何處？</v>
      </c>
      <c r="D383" s="4" t="str">
        <f>dB題庫!C62</f>
        <v>固定結構內部。</v>
      </c>
      <c r="E383" s="4" t="str">
        <f>dB題庫!D62</f>
        <v>固定結構外部。</v>
      </c>
      <c r="F383" s="4" t="str">
        <f>dB題庫!E62</f>
        <v>轉動機構外部。</v>
      </c>
      <c r="G383" s="4" t="str">
        <f>dB題庫!F62</f>
        <v>轉動機構內部。</v>
      </c>
      <c r="H383" s="4" t="str">
        <f>dB題庫!G62</f>
        <v>B</v>
      </c>
      <c r="I383" s="4" t="str">
        <f>dB題庫!H62</f>
        <v>為了讓稽查人員或公眾在不需要拆卸無人機的情況下直接辨識號碼，註冊號碼必須漆在無人機的「固定結構外部」；若漆在內部或活動、轉動機構上，均不符合查驗便利與可視性之規定。</v>
      </c>
    </row>
    <row r="384" spans="1:9" s="3" customFormat="1" x14ac:dyDescent="0.3">
      <c r="A384" s="2" t="s">
        <v>541</v>
      </c>
      <c r="B384" s="1"/>
      <c r="C384" s="7" t="str">
        <f>"(A.)"&amp;D383</f>
        <v>(A.)固定結構內部。</v>
      </c>
      <c r="D384" s="2"/>
      <c r="E384" s="2"/>
      <c r="F384" s="2"/>
      <c r="G384" s="2"/>
      <c r="H384" s="2"/>
      <c r="I384" s="2"/>
    </row>
    <row r="385" spans="1:9" s="3" customFormat="1" x14ac:dyDescent="0.3">
      <c r="A385" s="2"/>
      <c r="B385" s="1"/>
      <c r="C385" s="7" t="str">
        <f>"(B.)"&amp;E383</f>
        <v>(B.)固定結構外部。</v>
      </c>
      <c r="D385" s="2"/>
      <c r="E385" s="2"/>
      <c r="F385" s="2"/>
      <c r="G385" s="2"/>
      <c r="H385" s="2"/>
      <c r="I385" s="2"/>
    </row>
    <row r="386" spans="1:9" s="3" customFormat="1" x14ac:dyDescent="0.3">
      <c r="A386" s="2"/>
      <c r="B386" s="2"/>
      <c r="C386" s="7" t="str">
        <f>"(C.)"&amp;F383</f>
        <v>(C.)轉動機構外部。</v>
      </c>
      <c r="D386" s="2"/>
      <c r="E386" s="2"/>
      <c r="F386" s="2"/>
      <c r="G386" s="2"/>
      <c r="H386" s="2"/>
      <c r="I386" s="2"/>
    </row>
    <row r="387" spans="1:9" s="3" customFormat="1" x14ac:dyDescent="0.3">
      <c r="A387" s="2"/>
      <c r="B387" s="2"/>
      <c r="C387" s="7" t="str">
        <f>"(D.)"&amp;G383</f>
        <v>(D.)轉動機構內部。</v>
      </c>
      <c r="D387" s="2"/>
      <c r="E387" s="2"/>
      <c r="F387" s="2"/>
      <c r="G387" s="2"/>
      <c r="H387" s="2"/>
      <c r="I387" s="2"/>
    </row>
    <row r="388" spans="1:9" s="3" customFormat="1" x14ac:dyDescent="0.3">
      <c r="A388" s="2"/>
      <c r="B388" s="2"/>
      <c r="C388" s="7" t="str">
        <f>"答案是： "&amp;IF(H383="A",C384,IF(H383="B",C385,IF(H383="C",C386,IF(H383=("D"),C387,"XXXX"))))</f>
        <v>答案是： (B.)固定結構外部。</v>
      </c>
      <c r="D388" s="2"/>
      <c r="E388" s="2"/>
      <c r="F388" s="2"/>
      <c r="G388" s="2"/>
      <c r="H388" s="2"/>
      <c r="I388" s="2"/>
    </row>
    <row r="389" spans="1:9" s="3" customFormat="1" ht="75" x14ac:dyDescent="0.3">
      <c r="A389" s="2"/>
      <c r="B389" s="2"/>
      <c r="C389" s="7" t="str">
        <f>"說明："&amp;I383</f>
        <v>說明：為了讓稽查人員或公眾在不需要拆卸無人機的情況下直接辨識號碼，註冊號碼必須漆在無人機的「固定結構外部」；若漆在內部或活動、轉動機構上，均不符合查驗便利與可視性之規定。</v>
      </c>
      <c r="D389" s="2"/>
      <c r="E389" s="2"/>
      <c r="F389" s="2"/>
      <c r="G389" s="2"/>
      <c r="H389" s="2"/>
      <c r="I389" s="2"/>
    </row>
    <row r="390" spans="1:9" s="3" customFormat="1" ht="45" x14ac:dyDescent="0.3">
      <c r="A390" s="4" t="str">
        <f>dB題庫!A63</f>
        <v>62</v>
      </c>
      <c r="B390" s="4" t="str">
        <f>dB題庫!B63</f>
        <v>註冊號碼之顏色應以肉眼即能辨識，並應符合下列何項要求？</v>
      </c>
      <c r="C390" s="4" t="str">
        <f t="shared" si="1"/>
        <v>62.註冊號碼之顏色應以肉眼即能辨識，並應符合下列何項要求？</v>
      </c>
      <c r="D390" s="4" t="str">
        <f>dB題庫!C63</f>
        <v>融入背景顏色。</v>
      </c>
      <c r="E390" s="4" t="str">
        <f>dB題庫!D63</f>
        <v>與背景顏色相近。</v>
      </c>
      <c r="F390" s="4" t="str">
        <f>dB題庫!E63</f>
        <v>與背景明顯反襯。</v>
      </c>
      <c r="G390" s="4" t="str">
        <f>dB題庫!F63</f>
        <v>無特別規定。</v>
      </c>
      <c r="H390" s="4" t="str">
        <f>dB題庫!G63</f>
        <v>C</v>
      </c>
      <c r="I390" s="4" t="str">
        <f>dB題庫!H63</f>
        <v>為了達到高度的辨識性，號碼的字體顏色必須與號碼底色或機身塗裝「明顯反襯」（例如白底黑字、黑機身貼白字），切勿選擇與背景相近或融入背景的顏色。</v>
      </c>
    </row>
    <row r="391" spans="1:9" s="3" customFormat="1" x14ac:dyDescent="0.3">
      <c r="A391" s="2" t="s">
        <v>541</v>
      </c>
      <c r="B391" s="1"/>
      <c r="C391" s="7" t="str">
        <f>"(A.)"&amp;D390</f>
        <v>(A.)融入背景顏色。</v>
      </c>
      <c r="D391" s="2"/>
      <c r="E391" s="2"/>
      <c r="F391" s="2"/>
      <c r="G391" s="2"/>
      <c r="H391" s="2"/>
      <c r="I391" s="2"/>
    </row>
    <row r="392" spans="1:9" s="3" customFormat="1" x14ac:dyDescent="0.3">
      <c r="A392" s="2"/>
      <c r="B392" s="1"/>
      <c r="C392" s="7" t="str">
        <f>"(B.)"&amp;E390</f>
        <v>(B.)與背景顏色相近。</v>
      </c>
      <c r="D392" s="2"/>
      <c r="E392" s="2"/>
      <c r="F392" s="2"/>
      <c r="G392" s="2"/>
      <c r="H392" s="2"/>
      <c r="I392" s="2"/>
    </row>
    <row r="393" spans="1:9" s="3" customFormat="1" x14ac:dyDescent="0.3">
      <c r="A393" s="2"/>
      <c r="B393" s="2"/>
      <c r="C393" s="7" t="str">
        <f>"(C.)"&amp;F390</f>
        <v>(C.)與背景明顯反襯。</v>
      </c>
      <c r="D393" s="2"/>
      <c r="E393" s="2"/>
      <c r="F393" s="2"/>
      <c r="G393" s="2"/>
      <c r="H393" s="2"/>
      <c r="I393" s="2"/>
    </row>
    <row r="394" spans="1:9" s="3" customFormat="1" x14ac:dyDescent="0.3">
      <c r="A394" s="2"/>
      <c r="B394" s="2"/>
      <c r="C394" s="7" t="str">
        <f>"(D.)"&amp;G390</f>
        <v>(D.)無特別規定。</v>
      </c>
      <c r="D394" s="2"/>
      <c r="E394" s="2"/>
      <c r="F394" s="2"/>
      <c r="G394" s="2"/>
      <c r="H394" s="2"/>
      <c r="I394" s="2"/>
    </row>
    <row r="395" spans="1:9" s="3" customFormat="1" x14ac:dyDescent="0.3">
      <c r="A395" s="2"/>
      <c r="B395" s="2"/>
      <c r="C395" s="7" t="str">
        <f>"答案是： "&amp;IF(H390="A",C391,IF(H390="B",C392,IF(H390="C",C393,IF(H390=("D"),C394,"XXXX"))))</f>
        <v>答案是： (C.)與背景明顯反襯。</v>
      </c>
      <c r="D395" s="2"/>
      <c r="E395" s="2"/>
      <c r="F395" s="2"/>
      <c r="G395" s="2"/>
      <c r="H395" s="2"/>
      <c r="I395" s="2"/>
    </row>
    <row r="396" spans="1:9" s="3" customFormat="1" ht="60" x14ac:dyDescent="0.3">
      <c r="A396" s="2"/>
      <c r="B396" s="2"/>
      <c r="C396" s="7" t="str">
        <f>"說明："&amp;I390</f>
        <v>說明：為了達到高度的辨識性，號碼的字體顏色必須與號碼底色或機身塗裝「明顯反襯」（例如白底黑字、黑機身貼白字），切勿選擇與背景相近或融入背景的顏色。</v>
      </c>
      <c r="D396" s="2"/>
      <c r="E396" s="2"/>
      <c r="F396" s="2"/>
      <c r="G396" s="2"/>
      <c r="H396" s="2"/>
      <c r="I396" s="2"/>
    </row>
    <row r="397" spans="1:9" s="3" customFormat="1" ht="45" x14ac:dyDescent="0.3">
      <c r="A397" s="4" t="str">
        <f>dB題庫!A64</f>
        <v>63</v>
      </c>
      <c r="B397" s="4" t="str">
        <f>dB題庫!B64</f>
        <v>有關遙控無人機註冊號碼之使用，下列何者正確？</v>
      </c>
      <c r="C397" s="4" t="str">
        <f t="shared" si="1"/>
        <v>63.有關遙控無人機註冊號碼之使用，下列何者正確？</v>
      </c>
      <c r="D397" s="4" t="str">
        <f>dB題庫!C64</f>
        <v>不得偽造。</v>
      </c>
      <c r="E397" s="4" t="str">
        <f>dB題庫!D64</f>
        <v>不得變造。</v>
      </c>
      <c r="F397" s="4" t="str">
        <f>dB題庫!E64</f>
        <v>不得矇領。</v>
      </c>
      <c r="G397" s="4" t="str">
        <f>dB題庫!F64</f>
        <v>以上皆是。</v>
      </c>
      <c r="H397" s="4" t="str">
        <f>dB題庫!G64</f>
        <v>D</v>
      </c>
      <c r="I397" s="4" t="str">
        <f>dB題庫!H64</f>
        <v>註冊號碼具有公文書或特許證明性質，操作人與所有人絕對「不得偽造假號碼」、「不得變造他人號碼」，亦「不得以虛偽不實之資料矇領註冊號碼」，違者涉及嚴重的刑事與行政責任。</v>
      </c>
    </row>
    <row r="398" spans="1:9" s="3" customFormat="1" x14ac:dyDescent="0.3">
      <c r="A398" s="2" t="s">
        <v>541</v>
      </c>
      <c r="B398" s="1"/>
      <c r="C398" s="7" t="str">
        <f>"(A.)"&amp;D397</f>
        <v>(A.)不得偽造。</v>
      </c>
      <c r="D398" s="2"/>
      <c r="E398" s="2"/>
      <c r="F398" s="2"/>
      <c r="G398" s="2"/>
      <c r="H398" s="2"/>
      <c r="I398" s="2"/>
    </row>
    <row r="399" spans="1:9" s="3" customFormat="1" x14ac:dyDescent="0.3">
      <c r="A399" s="2"/>
      <c r="B399" s="1"/>
      <c r="C399" s="7" t="str">
        <f>"(B.)"&amp;E397</f>
        <v>(B.)不得變造。</v>
      </c>
      <c r="D399" s="2"/>
      <c r="E399" s="2"/>
      <c r="F399" s="2"/>
      <c r="G399" s="2"/>
      <c r="H399" s="2"/>
      <c r="I399" s="2"/>
    </row>
    <row r="400" spans="1:9" s="3" customFormat="1" x14ac:dyDescent="0.3">
      <c r="A400" s="2"/>
      <c r="B400" s="2"/>
      <c r="C400" s="7" t="str">
        <f>"(C.)"&amp;F397</f>
        <v>(C.)不得矇領。</v>
      </c>
      <c r="D400" s="2"/>
      <c r="E400" s="2"/>
      <c r="F400" s="2"/>
      <c r="G400" s="2"/>
      <c r="H400" s="2"/>
      <c r="I400" s="2"/>
    </row>
    <row r="401" spans="1:9" s="3" customFormat="1" x14ac:dyDescent="0.3">
      <c r="A401" s="2"/>
      <c r="B401" s="2"/>
      <c r="C401" s="7" t="str">
        <f>"(D.)"&amp;G397</f>
        <v>(D.)以上皆是。</v>
      </c>
      <c r="D401" s="2"/>
      <c r="E401" s="2"/>
      <c r="F401" s="2"/>
      <c r="G401" s="2"/>
      <c r="H401" s="2"/>
      <c r="I401" s="2"/>
    </row>
    <row r="402" spans="1:9" s="3" customFormat="1" x14ac:dyDescent="0.3">
      <c r="A402" s="2"/>
      <c r="B402" s="2"/>
      <c r="C402" s="7" t="str">
        <f>"答案是： "&amp;IF(H397="A",C398,IF(H397="B",C399,IF(H397="C",C400,IF(H397=("D"),C401,"XXXX"))))</f>
        <v>答案是： (D.)以上皆是。</v>
      </c>
      <c r="D402" s="2"/>
      <c r="E402" s="2"/>
      <c r="F402" s="2"/>
      <c r="G402" s="2"/>
      <c r="H402" s="2"/>
      <c r="I402" s="2"/>
    </row>
    <row r="403" spans="1:9" s="3" customFormat="1" ht="75" x14ac:dyDescent="0.3">
      <c r="A403" s="2"/>
      <c r="B403" s="2"/>
      <c r="C403" s="7" t="str">
        <f>"說明："&amp;I397</f>
        <v>說明：註冊號碼具有公文書或特許證明性質，操作人與所有人絕對「不得偽造假號碼」、「不得變造他人號碼」，亦「不得以虛偽不實之資料矇領註冊號碼」，違者涉及嚴重的刑事與行政責任。</v>
      </c>
      <c r="D403" s="2"/>
      <c r="E403" s="2"/>
      <c r="F403" s="2"/>
      <c r="G403" s="2"/>
      <c r="H403" s="2"/>
      <c r="I403" s="2"/>
    </row>
    <row r="404" spans="1:9" s="3" customFormat="1" ht="60" x14ac:dyDescent="0.3">
      <c r="A404" s="4" t="str">
        <f>dB題庫!A65</f>
        <v>64</v>
      </c>
      <c r="B404" s="4" t="str">
        <f>dB題庫!B65</f>
        <v>有關遙控無人機註冊號碼之使用，下列何者正確？</v>
      </c>
      <c r="C404" s="4" t="str">
        <f t="shared" si="1"/>
        <v>64.有關遙控無人機註冊號碼之使用，下列何者正確？</v>
      </c>
      <c r="D404" s="4" t="str">
        <f>dB題庫!C65</f>
        <v>不得於任何未註冊之遙控無人機上使用。</v>
      </c>
      <c r="E404" s="4" t="str">
        <f>dB題庫!D65</f>
        <v>可於他人未註冊之遙控無人機上使用。</v>
      </c>
      <c r="F404" s="4" t="str">
        <f>dB題庫!E65</f>
        <v>可於自己所有未註冊之遙控無人機上使用。</v>
      </c>
      <c r="G404" s="4" t="str">
        <f>dB題庫!F65</f>
        <v>使用狀況視遙控無人機型式而定。</v>
      </c>
      <c r="H404" s="4" t="str">
        <f>dB題庫!G65</f>
        <v>A</v>
      </c>
      <c r="I404" s="4" t="str">
        <f>dB題庫!H65</f>
        <v>一機一號制度。合法取得的註冊號碼只能專屬標明在該登記核准的無人機上，絕對「不得移轉或借給任何未註冊之遙控無人機上使用」，不論該機器是自己所有或他人所有皆同。</v>
      </c>
    </row>
    <row r="405" spans="1:9" s="3" customFormat="1" x14ac:dyDescent="0.3">
      <c r="A405" s="2" t="s">
        <v>541</v>
      </c>
      <c r="B405" s="1"/>
      <c r="C405" s="7" t="str">
        <f>"(A.)"&amp;D404</f>
        <v>(A.)不得於任何未註冊之遙控無人機上使用。</v>
      </c>
      <c r="D405" s="2"/>
      <c r="E405" s="2"/>
      <c r="F405" s="2"/>
      <c r="G405" s="2"/>
      <c r="H405" s="2"/>
      <c r="I405" s="2"/>
    </row>
    <row r="406" spans="1:9" s="3" customFormat="1" x14ac:dyDescent="0.3">
      <c r="A406" s="2"/>
      <c r="B406" s="1"/>
      <c r="C406" s="7" t="str">
        <f>"(B.)"&amp;E404</f>
        <v>(B.)可於他人未註冊之遙控無人機上使用。</v>
      </c>
      <c r="D406" s="2"/>
      <c r="E406" s="2"/>
      <c r="F406" s="2"/>
      <c r="G406" s="2"/>
      <c r="H406" s="2"/>
      <c r="I406" s="2"/>
    </row>
    <row r="407" spans="1:9" s="3" customFormat="1" x14ac:dyDescent="0.3">
      <c r="A407" s="2"/>
      <c r="B407" s="2"/>
      <c r="C407" s="7" t="str">
        <f>"(C.)"&amp;F404</f>
        <v>(C.)可於自己所有未註冊之遙控無人機上使用。</v>
      </c>
      <c r="D407" s="2"/>
      <c r="E407" s="2"/>
      <c r="F407" s="2"/>
      <c r="G407" s="2"/>
      <c r="H407" s="2"/>
      <c r="I407" s="2"/>
    </row>
    <row r="408" spans="1:9" s="3" customFormat="1" x14ac:dyDescent="0.3">
      <c r="A408" s="2"/>
      <c r="B408" s="2"/>
      <c r="C408" s="7" t="str">
        <f>"(D.)"&amp;G404</f>
        <v>(D.)使用狀況視遙控無人機型式而定。</v>
      </c>
      <c r="D408" s="2"/>
      <c r="E408" s="2"/>
      <c r="F408" s="2"/>
      <c r="G408" s="2"/>
      <c r="H408" s="2"/>
      <c r="I408" s="2"/>
    </row>
    <row r="409" spans="1:9" s="3" customFormat="1" ht="30" x14ac:dyDescent="0.3">
      <c r="A409" s="2"/>
      <c r="B409" s="2"/>
      <c r="C409" s="7" t="str">
        <f>"答案是： "&amp;IF(H404="A",C405,IF(H404="B",C406,IF(H404="C",C407,IF(H404=("D"),C408,"XXXX"))))</f>
        <v>答案是： (A.)不得於任何未註冊之遙控無人機上使用。</v>
      </c>
      <c r="D409" s="2"/>
      <c r="E409" s="2"/>
      <c r="F409" s="2"/>
      <c r="G409" s="2"/>
      <c r="H409" s="2"/>
      <c r="I409" s="2"/>
    </row>
    <row r="410" spans="1:9" s="3" customFormat="1" ht="75" x14ac:dyDescent="0.3">
      <c r="A410" s="2"/>
      <c r="B410" s="2"/>
      <c r="C410" s="7" t="str">
        <f>"說明："&amp;I404</f>
        <v>說明：一機一號制度。合法取得的註冊號碼只能專屬標明在該登記核准的無人機上，絕對「不得移轉或借給任何未註冊之遙控無人機上使用」，不論該機器是自己所有或他人所有皆同。</v>
      </c>
      <c r="D410" s="2"/>
      <c r="E410" s="2"/>
      <c r="F410" s="2"/>
      <c r="G410" s="2"/>
      <c r="H410" s="2"/>
      <c r="I410" s="2"/>
    </row>
    <row r="411" spans="1:9" s="3" customFormat="1" ht="45" x14ac:dyDescent="0.3">
      <c r="A411" s="4" t="str">
        <f>dB題庫!A66</f>
        <v>65</v>
      </c>
      <c r="B411" s="4" t="str">
        <f>dB題庫!B66</f>
        <v>最大起飛重量超過一定重量之遙控無人機應具有射頻識別功能（Remote ID），其一定重量，係由下列哪個機關公告之？</v>
      </c>
      <c r="C411" s="4" t="str">
        <f t="shared" si="1"/>
        <v>65.最大起飛重量超過一定重量之遙控無人機應具有射頻識別功能（Remote ID），其一定重量，係由下列哪個機關公告之？</v>
      </c>
      <c r="D411" s="4" t="str">
        <f>dB題庫!C66</f>
        <v>衛福部。</v>
      </c>
      <c r="E411" s="4" t="str">
        <f>dB題庫!D66</f>
        <v>內政部。</v>
      </c>
      <c r="F411" s="4" t="str">
        <f>dB題庫!E66</f>
        <v>科技部。</v>
      </c>
      <c r="G411" s="4" t="str">
        <f>dB題庫!F66</f>
        <v>民航局。</v>
      </c>
      <c r="H411" s="4" t="str">
        <f>dB題庫!G66</f>
        <v>D</v>
      </c>
      <c r="I411" s="4" t="str">
        <f>dB題庫!H66</f>
        <v>射頻識別（Remote I D）如同空中電子車牌。而決定何種重量級別以上的機器必須強制內建射頻識別功能，屬於民航空域電子秩序之規範，主掌機關當然是「民航局」。</v>
      </c>
    </row>
    <row r="412" spans="1:9" s="3" customFormat="1" x14ac:dyDescent="0.3">
      <c r="A412" s="2" t="s">
        <v>541</v>
      </c>
      <c r="B412" s="1"/>
      <c r="C412" s="7" t="str">
        <f>"(A.)"&amp;D411</f>
        <v>(A.)衛福部。</v>
      </c>
      <c r="D412" s="2"/>
      <c r="E412" s="2"/>
      <c r="F412" s="2"/>
      <c r="G412" s="2"/>
      <c r="H412" s="2"/>
      <c r="I412" s="2"/>
    </row>
    <row r="413" spans="1:9" s="3" customFormat="1" x14ac:dyDescent="0.3">
      <c r="A413" s="2"/>
      <c r="B413" s="1"/>
      <c r="C413" s="7" t="str">
        <f>"(B.)"&amp;E411</f>
        <v>(B.)內政部。</v>
      </c>
      <c r="D413" s="2"/>
      <c r="E413" s="2"/>
      <c r="F413" s="2"/>
      <c r="G413" s="2"/>
      <c r="H413" s="2"/>
      <c r="I413" s="2"/>
    </row>
    <row r="414" spans="1:9" s="3" customFormat="1" x14ac:dyDescent="0.3">
      <c r="A414" s="2"/>
      <c r="B414" s="2"/>
      <c r="C414" s="7" t="str">
        <f>"(C.)"&amp;F411</f>
        <v>(C.)科技部。</v>
      </c>
      <c r="D414" s="2"/>
      <c r="E414" s="2"/>
      <c r="F414" s="2"/>
      <c r="G414" s="2"/>
      <c r="H414" s="2"/>
      <c r="I414" s="2"/>
    </row>
    <row r="415" spans="1:9" s="3" customFormat="1" x14ac:dyDescent="0.3">
      <c r="A415" s="2"/>
      <c r="B415" s="2"/>
      <c r="C415" s="7" t="str">
        <f>"(D.)"&amp;G411</f>
        <v>(D.)民航局。</v>
      </c>
      <c r="D415" s="2"/>
      <c r="E415" s="2"/>
      <c r="F415" s="2"/>
      <c r="G415" s="2"/>
      <c r="H415" s="2"/>
      <c r="I415" s="2"/>
    </row>
    <row r="416" spans="1:9" s="3" customFormat="1" x14ac:dyDescent="0.3">
      <c r="A416" s="2"/>
      <c r="B416" s="2"/>
      <c r="C416" s="7" t="str">
        <f>"答案是： "&amp;IF(H411="A",C412,IF(H411="B",C413,IF(H411="C",C414,IF(H411=("D"),C415,"XXXX"))))</f>
        <v>答案是： (D.)民航局。</v>
      </c>
      <c r="D416" s="2"/>
      <c r="E416" s="2"/>
      <c r="F416" s="2"/>
      <c r="G416" s="2"/>
      <c r="H416" s="2"/>
      <c r="I416" s="2"/>
    </row>
    <row r="417" spans="1:9" s="3" customFormat="1" ht="60" x14ac:dyDescent="0.3">
      <c r="A417" s="2"/>
      <c r="B417" s="2"/>
      <c r="C417" s="7" t="str">
        <f>"說明："&amp;I411</f>
        <v>說明：射頻識別（Remote I D）如同空中電子車牌。而決定何種重量級別以上的機器必須強制內建射頻識別功能，屬於民航空域電子秩序之規範，主掌機關當然是「民航局」。</v>
      </c>
      <c r="D417" s="2"/>
      <c r="E417" s="2"/>
      <c r="F417" s="2"/>
      <c r="G417" s="2"/>
      <c r="H417" s="2"/>
      <c r="I417" s="2"/>
    </row>
    <row r="418" spans="1:9" s="3" customFormat="1" ht="45" x14ac:dyDescent="0.3">
      <c r="A418" s="4" t="str">
        <f>dB題庫!A67</f>
        <v>66</v>
      </c>
      <c r="B418" s="4" t="str">
        <f>dB題庫!B67</f>
        <v>遙控無人機之設計、製造、改裝，可由何者提出型式檢驗申請？</v>
      </c>
      <c r="C418" s="4" t="str">
        <f t="shared" si="1"/>
        <v>66.遙控無人機之設計、製造、改裝，可由何者提出型式檢驗申請？</v>
      </c>
      <c r="D418" s="4" t="str">
        <f>dB題庫!C67</f>
        <v>設計者。</v>
      </c>
      <c r="E418" s="4" t="str">
        <f>dB題庫!D67</f>
        <v>製造者。</v>
      </c>
      <c r="F418" s="4" t="str">
        <f>dB題庫!E67</f>
        <v>改裝者。</v>
      </c>
      <c r="G418" s="4" t="str">
        <f>dB題庫!F67</f>
        <v>以上皆可。</v>
      </c>
      <c r="H418" s="4" t="str">
        <f>dB題庫!G67</f>
        <v>D</v>
      </c>
      <c r="I418" s="4" t="str">
        <f>dB題庫!H67</f>
        <v>依管理規則規定，凡投入無人機商業化或高重量級別之「設計者」、「製造者」或針對既有產品進行大改之「改裝者」，皆具備法定主體資格，可向主管機關提出產品的型式檢驗申請。</v>
      </c>
    </row>
    <row r="419" spans="1:9" s="3" customFormat="1" x14ac:dyDescent="0.3">
      <c r="A419" s="2" t="s">
        <v>541</v>
      </c>
      <c r="B419" s="1"/>
      <c r="C419" s="7" t="str">
        <f>"(A.)"&amp;D418</f>
        <v>(A.)設計者。</v>
      </c>
      <c r="D419" s="2"/>
      <c r="E419" s="2"/>
      <c r="F419" s="2"/>
      <c r="G419" s="2"/>
      <c r="H419" s="2"/>
      <c r="I419" s="2"/>
    </row>
    <row r="420" spans="1:9" s="3" customFormat="1" x14ac:dyDescent="0.3">
      <c r="A420" s="2"/>
      <c r="B420" s="1"/>
      <c r="C420" s="7" t="str">
        <f>"(B.)"&amp;E418</f>
        <v>(B.)製造者。</v>
      </c>
      <c r="D420" s="2"/>
      <c r="E420" s="2"/>
      <c r="F420" s="2"/>
      <c r="G420" s="2"/>
      <c r="H420" s="2"/>
      <c r="I420" s="2"/>
    </row>
    <row r="421" spans="1:9" s="3" customFormat="1" x14ac:dyDescent="0.3">
      <c r="A421" s="2"/>
      <c r="B421" s="2"/>
      <c r="C421" s="7" t="str">
        <f>"(C.)"&amp;F418</f>
        <v>(C.)改裝者。</v>
      </c>
      <c r="D421" s="2"/>
      <c r="E421" s="2"/>
      <c r="F421" s="2"/>
      <c r="G421" s="2"/>
      <c r="H421" s="2"/>
      <c r="I421" s="2"/>
    </row>
    <row r="422" spans="1:9" s="3" customFormat="1" x14ac:dyDescent="0.3">
      <c r="A422" s="2"/>
      <c r="B422" s="2"/>
      <c r="C422" s="7" t="str">
        <f>"(D.)"&amp;G418</f>
        <v>(D.)以上皆可。</v>
      </c>
      <c r="D422" s="2"/>
      <c r="E422" s="2"/>
      <c r="F422" s="2"/>
      <c r="G422" s="2"/>
      <c r="H422" s="2"/>
      <c r="I422" s="2"/>
    </row>
    <row r="423" spans="1:9" s="3" customFormat="1" x14ac:dyDescent="0.3">
      <c r="A423" s="2"/>
      <c r="B423" s="2"/>
      <c r="C423" s="7" t="str">
        <f>"答案是： "&amp;IF(H418="A",C419,IF(H418="B",C420,IF(H418="C",C421,IF(H418=("D"),C422,"XXXX"))))</f>
        <v>答案是： (D.)以上皆可。</v>
      </c>
      <c r="D423" s="2"/>
      <c r="E423" s="2"/>
      <c r="F423" s="2"/>
      <c r="G423" s="2"/>
      <c r="H423" s="2"/>
      <c r="I423" s="2"/>
    </row>
    <row r="424" spans="1:9" s="3" customFormat="1" ht="75" x14ac:dyDescent="0.3">
      <c r="A424" s="2"/>
      <c r="B424" s="2"/>
      <c r="C424" s="7" t="str">
        <f>"說明："&amp;I418</f>
        <v>說明：依管理規則規定，凡投入無人機商業化或高重量級別之「設計者」、「製造者」或針對既有產品進行大改之「改裝者」，皆具備法定主體資格，可向主管機關提出產品的型式檢驗申請。</v>
      </c>
      <c r="D424" s="2"/>
      <c r="E424" s="2"/>
      <c r="F424" s="2"/>
      <c r="G424" s="2"/>
      <c r="H424" s="2"/>
      <c r="I424" s="2"/>
    </row>
    <row r="425" spans="1:9" s="3" customFormat="1" ht="30" x14ac:dyDescent="0.3">
      <c r="A425" s="4" t="str">
        <f>dB題庫!A68</f>
        <v>67</v>
      </c>
      <c r="B425" s="4" t="str">
        <f>dB題庫!B68</f>
        <v>遙控無人機之設計、製造、改裝，應檢附申請書向哪個機關申請型式檢驗？</v>
      </c>
      <c r="C425" s="4" t="str">
        <f t="shared" si="1"/>
        <v>67.遙控無人機之設計、製造、改裝，應檢附申請書向哪個機關申請型式檢驗？</v>
      </c>
      <c r="D425" s="4" t="str">
        <f>dB題庫!C68</f>
        <v>民航局。</v>
      </c>
      <c r="E425" s="4" t="str">
        <f>dB題庫!D68</f>
        <v>衛福部。</v>
      </c>
      <c r="F425" s="4" t="str">
        <f>dB題庫!E68</f>
        <v>內政部。</v>
      </c>
      <c r="G425" s="4" t="str">
        <f>dB題庫!F68</f>
        <v>科技部。</v>
      </c>
      <c r="H425" s="4" t="str">
        <f>dB題庫!G68</f>
        <v>A</v>
      </c>
      <c r="I425" s="4" t="str">
        <f>dB題庫!H68</f>
        <v>遙控無人機的適航認證、型式檢驗與實體檢驗，其唯一技術與法規審查權責機關皆為「民航局」（或其委託之專業機構）。</v>
      </c>
    </row>
    <row r="426" spans="1:9" s="3" customFormat="1" x14ac:dyDescent="0.3">
      <c r="A426" s="2" t="s">
        <v>541</v>
      </c>
      <c r="B426" s="1"/>
      <c r="C426" s="7" t="str">
        <f>"(A.)"&amp;D425</f>
        <v>(A.)民航局。</v>
      </c>
      <c r="D426" s="2"/>
      <c r="E426" s="2"/>
      <c r="F426" s="2"/>
      <c r="G426" s="2"/>
      <c r="H426" s="2"/>
      <c r="I426" s="2"/>
    </row>
    <row r="427" spans="1:9" s="3" customFormat="1" x14ac:dyDescent="0.3">
      <c r="A427" s="2"/>
      <c r="B427" s="1"/>
      <c r="C427" s="7" t="str">
        <f>"(B.)"&amp;E425</f>
        <v>(B.)衛福部。</v>
      </c>
      <c r="D427" s="2"/>
      <c r="E427" s="2"/>
      <c r="F427" s="2"/>
      <c r="G427" s="2"/>
      <c r="H427" s="2"/>
      <c r="I427" s="2"/>
    </row>
    <row r="428" spans="1:9" s="3" customFormat="1" x14ac:dyDescent="0.3">
      <c r="A428" s="2"/>
      <c r="B428" s="2"/>
      <c r="C428" s="7" t="str">
        <f>"(C.)"&amp;F425</f>
        <v>(C.)內政部。</v>
      </c>
      <c r="D428" s="2"/>
      <c r="E428" s="2"/>
      <c r="F428" s="2"/>
      <c r="G428" s="2"/>
      <c r="H428" s="2"/>
      <c r="I428" s="2"/>
    </row>
    <row r="429" spans="1:9" s="3" customFormat="1" x14ac:dyDescent="0.3">
      <c r="A429" s="2"/>
      <c r="B429" s="2"/>
      <c r="C429" s="7" t="str">
        <f>"(D.)"&amp;G425</f>
        <v>(D.)科技部。</v>
      </c>
      <c r="D429" s="2"/>
      <c r="E429" s="2"/>
      <c r="F429" s="2"/>
      <c r="G429" s="2"/>
      <c r="H429" s="2"/>
      <c r="I429" s="2"/>
    </row>
    <row r="430" spans="1:9" s="3" customFormat="1" x14ac:dyDescent="0.3">
      <c r="A430" s="2"/>
      <c r="B430" s="2"/>
      <c r="C430" s="7" t="str">
        <f>"答案是： "&amp;IF(H425="A",C426,IF(H425="B",C427,IF(H425="C",C428,IF(H425=("D"),C429,"XXXX"))))</f>
        <v>答案是： (A.)民航局。</v>
      </c>
      <c r="D430" s="2"/>
      <c r="E430" s="2"/>
      <c r="F430" s="2"/>
      <c r="G430" s="2"/>
      <c r="H430" s="2"/>
      <c r="I430" s="2"/>
    </row>
    <row r="431" spans="1:9" s="3" customFormat="1" ht="45" x14ac:dyDescent="0.3">
      <c r="A431" s="2"/>
      <c r="B431" s="2"/>
      <c r="C431" s="7" t="str">
        <f>"說明："&amp;I425</f>
        <v>說明：遙控無人機的適航認證、型式檢驗與實體檢驗，其唯一技術與法規審查權責機關皆為「民航局」（或其委託之專業機構）。</v>
      </c>
      <c r="D431" s="2"/>
      <c r="E431" s="2"/>
      <c r="F431" s="2"/>
      <c r="G431" s="2"/>
      <c r="H431" s="2"/>
      <c r="I431" s="2"/>
    </row>
    <row r="432" spans="1:9" s="3" customFormat="1" ht="30" x14ac:dyDescent="0.3">
      <c r="A432" s="4" t="str">
        <f>dB題庫!A69</f>
        <v>68</v>
      </c>
      <c r="B432" s="4" t="str">
        <f>dB題庫!B69</f>
        <v>自國外進口之遙控無人機，應由何者依規定向民航局申請型式檢驗？</v>
      </c>
      <c r="C432" s="4" t="str">
        <f t="shared" si="1"/>
        <v>68.自國外進口之遙控無人機，應由何者依規定向民航局申請型式檢驗？</v>
      </c>
      <c r="D432" s="4" t="str">
        <f>dB題庫!C69</f>
        <v>操作人。</v>
      </c>
      <c r="E432" s="4" t="str">
        <f>dB題庫!D69</f>
        <v>所有人。</v>
      </c>
      <c r="F432" s="4" t="str">
        <f>dB題庫!E69</f>
        <v>進口者。</v>
      </c>
      <c r="G432" s="4" t="str">
        <f>dB題庫!F69</f>
        <v>設計者。</v>
      </c>
      <c r="H432" s="4" t="str">
        <f>dB題庫!G69</f>
        <v>C</v>
      </c>
      <c r="I432" s="4" t="str">
        <f>dB題庫!H69</f>
        <v>為了確保海外輸入的無人機射頻與飛安構造符合我國法規，源頭管理規定由「進口者」（進口代理商或貿易商）負責向民航局辦理型式檢驗。</v>
      </c>
    </row>
    <row r="433" spans="1:9" s="3" customFormat="1" x14ac:dyDescent="0.3">
      <c r="A433" s="2" t="s">
        <v>541</v>
      </c>
      <c r="B433" s="1"/>
      <c r="C433" s="7" t="str">
        <f>"(A.)"&amp;D432</f>
        <v>(A.)操作人。</v>
      </c>
      <c r="D433" s="2"/>
      <c r="E433" s="2"/>
      <c r="F433" s="2"/>
      <c r="G433" s="2"/>
      <c r="H433" s="2"/>
      <c r="I433" s="2"/>
    </row>
    <row r="434" spans="1:9" s="3" customFormat="1" x14ac:dyDescent="0.3">
      <c r="A434" s="2"/>
      <c r="B434" s="1"/>
      <c r="C434" s="7" t="str">
        <f>"(B.)"&amp;E432</f>
        <v>(B.)所有人。</v>
      </c>
      <c r="D434" s="2"/>
      <c r="E434" s="2"/>
      <c r="F434" s="2"/>
      <c r="G434" s="2"/>
      <c r="H434" s="2"/>
      <c r="I434" s="2"/>
    </row>
    <row r="435" spans="1:9" s="3" customFormat="1" x14ac:dyDescent="0.3">
      <c r="A435" s="2"/>
      <c r="B435" s="2"/>
      <c r="C435" s="7" t="str">
        <f>"(C.)"&amp;F432</f>
        <v>(C.)進口者。</v>
      </c>
      <c r="D435" s="2"/>
      <c r="E435" s="2"/>
      <c r="F435" s="2"/>
      <c r="G435" s="2"/>
      <c r="H435" s="2"/>
      <c r="I435" s="2"/>
    </row>
    <row r="436" spans="1:9" s="3" customFormat="1" x14ac:dyDescent="0.3">
      <c r="A436" s="2"/>
      <c r="B436" s="2"/>
      <c r="C436" s="7" t="str">
        <f>"(D.)"&amp;G432</f>
        <v>(D.)設計者。</v>
      </c>
      <c r="D436" s="2"/>
      <c r="E436" s="2"/>
      <c r="F436" s="2"/>
      <c r="G436" s="2"/>
      <c r="H436" s="2"/>
      <c r="I436" s="2"/>
    </row>
    <row r="437" spans="1:9" s="3" customFormat="1" x14ac:dyDescent="0.3">
      <c r="A437" s="2"/>
      <c r="B437" s="2"/>
      <c r="C437" s="7" t="str">
        <f>"答案是： "&amp;IF(H432="A",C433,IF(H432="B",C434,IF(H432="C",C435,IF(H432=("D"),C436,"XXXX"))))</f>
        <v>答案是： (C.)進口者。</v>
      </c>
      <c r="D437" s="2"/>
      <c r="E437" s="2"/>
      <c r="F437" s="2"/>
      <c r="G437" s="2"/>
      <c r="H437" s="2"/>
      <c r="I437" s="2"/>
    </row>
    <row r="438" spans="1:9" s="3" customFormat="1" ht="60" x14ac:dyDescent="0.3">
      <c r="A438" s="2"/>
      <c r="B438" s="2"/>
      <c r="C438" s="7" t="str">
        <f>"說明："&amp;I432</f>
        <v>說明：為了確保海外輸入的無人機射頻與飛安構造符合我國法規，源頭管理規定由「進口者」（進口代理商或貿易商）負責向民航局辦理型式檢驗。</v>
      </c>
      <c r="D438" s="2"/>
      <c r="E438" s="2"/>
      <c r="F438" s="2"/>
      <c r="G438" s="2"/>
      <c r="H438" s="2"/>
      <c r="I438" s="2"/>
    </row>
    <row r="439" spans="1:9" s="3" customFormat="1" ht="45" x14ac:dyDescent="0.3">
      <c r="A439" s="4" t="str">
        <f>dB題庫!A70</f>
        <v>69</v>
      </c>
      <c r="B439" s="4" t="str">
        <f>dB題庫!B70</f>
        <v>遙控無人機於設計、製造、改裝階段為驗證性能諸元所需之試飛，應檢附文件向哪個機關申請試飛活動？</v>
      </c>
      <c r="C439" s="4" t="str">
        <f t="shared" si="1"/>
        <v>69.遙控無人機於設計、製造、改裝階段為驗證性能諸元所需之試飛，應檢附文件向哪個機關申請試飛活動？</v>
      </c>
      <c r="D439" s="4" t="str">
        <f>dB題庫!C70</f>
        <v>衛福部。</v>
      </c>
      <c r="E439" s="4" t="str">
        <f>dB題庫!D70</f>
        <v>內政部。</v>
      </c>
      <c r="F439" s="4" t="str">
        <f>dB題庫!E70</f>
        <v>科技部。</v>
      </c>
      <c r="G439" s="4" t="str">
        <f>dB題庫!F70</f>
        <v>民航局。</v>
      </c>
      <c r="H439" s="4" t="str">
        <f>dB題庫!G70</f>
        <v>D</v>
      </c>
      <c r="I439" s="4" t="str">
        <f>dB題庫!H70</f>
        <v>研發與改裝過程中的實驗「試飛」必須進入公共空域，為防範未檢驗機器發生飛安意外，必須向「民航局」提出專案試飛活動申請並劃定試飛空域。</v>
      </c>
    </row>
    <row r="440" spans="1:9" s="3" customFormat="1" x14ac:dyDescent="0.3">
      <c r="A440" s="2" t="s">
        <v>541</v>
      </c>
      <c r="B440" s="1"/>
      <c r="C440" s="7" t="str">
        <f>"(A.)"&amp;D439</f>
        <v>(A.)衛福部。</v>
      </c>
      <c r="D440" s="2"/>
      <c r="E440" s="2"/>
      <c r="F440" s="2"/>
      <c r="G440" s="2"/>
      <c r="H440" s="2"/>
      <c r="I440" s="2"/>
    </row>
    <row r="441" spans="1:9" s="3" customFormat="1" x14ac:dyDescent="0.3">
      <c r="A441" s="2"/>
      <c r="B441" s="1"/>
      <c r="C441" s="7" t="str">
        <f>"(B.)"&amp;E439</f>
        <v>(B.)內政部。</v>
      </c>
      <c r="D441" s="2"/>
      <c r="E441" s="2"/>
      <c r="F441" s="2"/>
      <c r="G441" s="2"/>
      <c r="H441" s="2"/>
      <c r="I441" s="2"/>
    </row>
    <row r="442" spans="1:9" s="3" customFormat="1" x14ac:dyDescent="0.3">
      <c r="A442" s="2"/>
      <c r="B442" s="2"/>
      <c r="C442" s="7" t="str">
        <f>"(C.)"&amp;F439</f>
        <v>(C.)科技部。</v>
      </c>
      <c r="D442" s="2"/>
      <c r="E442" s="2"/>
      <c r="F442" s="2"/>
      <c r="G442" s="2"/>
      <c r="H442" s="2"/>
      <c r="I442" s="2"/>
    </row>
    <row r="443" spans="1:9" s="3" customFormat="1" x14ac:dyDescent="0.3">
      <c r="A443" s="2"/>
      <c r="B443" s="2"/>
      <c r="C443" s="7" t="str">
        <f>"(D.)"&amp;G439</f>
        <v>(D.)民航局。</v>
      </c>
      <c r="D443" s="2"/>
      <c r="E443" s="2"/>
      <c r="F443" s="2"/>
      <c r="G443" s="2"/>
      <c r="H443" s="2"/>
      <c r="I443" s="2"/>
    </row>
    <row r="444" spans="1:9" s="3" customFormat="1" x14ac:dyDescent="0.3">
      <c r="A444" s="2"/>
      <c r="B444" s="2"/>
      <c r="C444" s="7" t="str">
        <f>"答案是： "&amp;IF(H439="A",C440,IF(H439="B",C441,IF(H439="C",C442,IF(H439=("D"),C443,"XXXX"))))</f>
        <v>答案是： (D.)民航局。</v>
      </c>
      <c r="D444" s="2"/>
      <c r="E444" s="2"/>
      <c r="F444" s="2"/>
      <c r="G444" s="2"/>
      <c r="H444" s="2"/>
      <c r="I444" s="2"/>
    </row>
    <row r="445" spans="1:9" s="3" customFormat="1" ht="60" x14ac:dyDescent="0.3">
      <c r="A445" s="2"/>
      <c r="B445" s="2"/>
      <c r="C445" s="7" t="str">
        <f>"說明："&amp;I439</f>
        <v>說明：研發與改裝過程中的實驗「試飛」必須進入公共空域，為防範未檢驗機器發生飛安意外，必須向「民航局」提出專案試飛活動申請並劃定試飛空域。</v>
      </c>
      <c r="D445" s="2"/>
      <c r="E445" s="2"/>
      <c r="F445" s="2"/>
      <c r="G445" s="2"/>
      <c r="H445" s="2"/>
      <c r="I445" s="2"/>
    </row>
    <row r="446" spans="1:9" s="3" customFormat="1" ht="45" x14ac:dyDescent="0.3">
      <c r="A446" s="4" t="str">
        <f>dB題庫!A71</f>
        <v>70</v>
      </c>
      <c r="B446" s="4" t="str">
        <f>dB題庫!B71</f>
        <v>最大起飛重量 25 公斤以上之遙控無人機，為確保其符合設計、製造、改裝之性能諸元，應由何者提出實體檢驗申請？</v>
      </c>
      <c r="C446" s="4" t="str">
        <f t="shared" ref="C446:C593" si="2">A446&amp;"."&amp;B446</f>
        <v>70.最大起飛重量 25 公斤以上之遙控無人機，為確保其符合設計、製造、改裝之性能諸元，應由何者提出實體檢驗申請？</v>
      </c>
      <c r="D446" s="4" t="str">
        <f>dB題庫!C71</f>
        <v>操作人。</v>
      </c>
      <c r="E446" s="4" t="str">
        <f>dB題庫!D71</f>
        <v>所有人。</v>
      </c>
      <c r="F446" s="4" t="str">
        <f>dB題庫!E71</f>
        <v>設計者。</v>
      </c>
      <c r="G446" s="4" t="str">
        <f>dB題庫!F71</f>
        <v>製造者。</v>
      </c>
      <c r="H446" s="4" t="str">
        <f>dB題庫!G71</f>
        <v>B</v>
      </c>
      <c r="I446" s="4" t="str">
        <f>dB題庫!H71</f>
        <v>重量達25公斤以上的大型無人機具有高動能風險，法規規定其在註冊前必須通過逐架的實體檢驗，此項實體檢驗應由購買或持有該機器的「所有人」負責提出申請。</v>
      </c>
    </row>
    <row r="447" spans="1:9" s="3" customFormat="1" x14ac:dyDescent="0.3">
      <c r="A447" s="2" t="s">
        <v>541</v>
      </c>
      <c r="B447" s="1"/>
      <c r="C447" s="7" t="str">
        <f>"(A.)"&amp;D446</f>
        <v>(A.)操作人。</v>
      </c>
      <c r="D447" s="2"/>
      <c r="E447" s="2"/>
      <c r="F447" s="2"/>
      <c r="G447" s="2"/>
      <c r="H447" s="2"/>
      <c r="I447" s="2"/>
    </row>
    <row r="448" spans="1:9" s="3" customFormat="1" x14ac:dyDescent="0.3">
      <c r="A448" s="2"/>
      <c r="B448" s="1"/>
      <c r="C448" s="7" t="str">
        <f>"(B.)"&amp;E446</f>
        <v>(B.)所有人。</v>
      </c>
      <c r="D448" s="2"/>
      <c r="E448" s="2"/>
      <c r="F448" s="2"/>
      <c r="G448" s="2"/>
      <c r="H448" s="2"/>
      <c r="I448" s="2"/>
    </row>
    <row r="449" spans="1:9" s="3" customFormat="1" x14ac:dyDescent="0.3">
      <c r="A449" s="2"/>
      <c r="B449" s="2"/>
      <c r="C449" s="7" t="str">
        <f>"(C.)"&amp;F446</f>
        <v>(C.)設計者。</v>
      </c>
      <c r="D449" s="2"/>
      <c r="E449" s="2"/>
      <c r="F449" s="2"/>
      <c r="G449" s="2"/>
      <c r="H449" s="2"/>
      <c r="I449" s="2"/>
    </row>
    <row r="450" spans="1:9" s="3" customFormat="1" x14ac:dyDescent="0.3">
      <c r="A450" s="2"/>
      <c r="B450" s="2"/>
      <c r="C450" s="7" t="str">
        <f>"(D.)"&amp;G446</f>
        <v>(D.)製造者。</v>
      </c>
      <c r="D450" s="2"/>
      <c r="E450" s="2"/>
      <c r="F450" s="2"/>
      <c r="G450" s="2"/>
      <c r="H450" s="2"/>
      <c r="I450" s="2"/>
    </row>
    <row r="451" spans="1:9" s="3" customFormat="1" x14ac:dyDescent="0.3">
      <c r="A451" s="2"/>
      <c r="B451" s="2"/>
      <c r="C451" s="7" t="str">
        <f>"答案是： "&amp;IF(H446="A",C447,IF(H446="B",C448,IF(H446="C",C449,IF(H446=("D"),C450,"XXXX"))))</f>
        <v>答案是： (B.)所有人。</v>
      </c>
      <c r="D451" s="2"/>
      <c r="E451" s="2"/>
      <c r="F451" s="2"/>
      <c r="G451" s="2"/>
      <c r="H451" s="2"/>
      <c r="I451" s="2"/>
    </row>
    <row r="452" spans="1:9" s="3" customFormat="1" ht="60" x14ac:dyDescent="0.3">
      <c r="A452" s="2"/>
      <c r="B452" s="2"/>
      <c r="C452" s="7" t="str">
        <f>"說明："&amp;I446</f>
        <v>說明：重量達25公斤以上的大型無人機具有高動能風險，法規規定其在註冊前必須通過逐架的實體檢驗，此項實體檢驗應由購買或持有該機器的「所有人」負責提出申請。</v>
      </c>
      <c r="D452" s="2"/>
      <c r="E452" s="2"/>
      <c r="F452" s="2"/>
      <c r="G452" s="2"/>
      <c r="H452" s="2"/>
      <c r="I452" s="2"/>
    </row>
    <row r="453" spans="1:9" s="3" customFormat="1" ht="45" x14ac:dyDescent="0.3">
      <c r="A453" s="4" t="str">
        <f>dB題庫!A72</f>
        <v>71</v>
      </c>
      <c r="B453" s="4" t="str">
        <f>dB題庫!B72</f>
        <v>最大起飛重量 25 公斤以上之遙控無人機，為確保其符合設計、製造、改裝之性能諸元，應向哪個機關申請實體檢驗？</v>
      </c>
      <c r="C453" s="4" t="str">
        <f t="shared" si="2"/>
        <v>71.最大起飛重量 25 公斤以上之遙控無人機，為確保其符合設計、製造、改裝之性能諸元，應向哪個機關申請實體檢驗？</v>
      </c>
      <c r="D453" s="4" t="str">
        <f>dB題庫!C72</f>
        <v>民航局。</v>
      </c>
      <c r="E453" s="4" t="str">
        <f>dB題庫!D72</f>
        <v>衛福部。</v>
      </c>
      <c r="F453" s="4" t="str">
        <f>dB題庫!E72</f>
        <v>內政部。</v>
      </c>
      <c r="G453" s="4" t="str">
        <f>dB題庫!F72</f>
        <v>科技部。</v>
      </c>
      <c r="H453" s="4" t="str">
        <f>dB題庫!G72</f>
        <v>A</v>
      </c>
      <c r="I453" s="4" t="str">
        <f>dB題庫!H72</f>
        <v>大型遙控無人機之實體適航與安全性把關，法定主管檢驗機關一樣為「民航局」。</v>
      </c>
    </row>
    <row r="454" spans="1:9" s="3" customFormat="1" x14ac:dyDescent="0.3">
      <c r="A454" s="2" t="s">
        <v>541</v>
      </c>
      <c r="B454" s="1"/>
      <c r="C454" s="7" t="str">
        <f>"(A.)"&amp;D453</f>
        <v>(A.)民航局。</v>
      </c>
      <c r="D454" s="2"/>
      <c r="E454" s="2"/>
      <c r="F454" s="2"/>
      <c r="G454" s="2"/>
      <c r="H454" s="2"/>
      <c r="I454" s="2"/>
    </row>
    <row r="455" spans="1:9" s="3" customFormat="1" x14ac:dyDescent="0.3">
      <c r="A455" s="2"/>
      <c r="B455" s="1"/>
      <c r="C455" s="7" t="str">
        <f>"(B.)"&amp;E453</f>
        <v>(B.)衛福部。</v>
      </c>
      <c r="D455" s="2"/>
      <c r="E455" s="2"/>
      <c r="F455" s="2"/>
      <c r="G455" s="2"/>
      <c r="H455" s="2"/>
      <c r="I455" s="2"/>
    </row>
    <row r="456" spans="1:9" s="3" customFormat="1" x14ac:dyDescent="0.3">
      <c r="A456" s="2"/>
      <c r="B456" s="2"/>
      <c r="C456" s="7" t="str">
        <f>"(C.)"&amp;F453</f>
        <v>(C.)內政部。</v>
      </c>
      <c r="D456" s="2"/>
      <c r="E456" s="2"/>
      <c r="F456" s="2"/>
      <c r="G456" s="2"/>
      <c r="H456" s="2"/>
      <c r="I456" s="2"/>
    </row>
    <row r="457" spans="1:9" s="3" customFormat="1" x14ac:dyDescent="0.3">
      <c r="A457" s="2"/>
      <c r="B457" s="2"/>
      <c r="C457" s="7" t="str">
        <f>"(D.)"&amp;G453</f>
        <v>(D.)科技部。</v>
      </c>
      <c r="D457" s="2"/>
      <c r="E457" s="2"/>
      <c r="F457" s="2"/>
      <c r="G457" s="2"/>
      <c r="H457" s="2"/>
      <c r="I457" s="2"/>
    </row>
    <row r="458" spans="1:9" s="3" customFormat="1" x14ac:dyDescent="0.3">
      <c r="A458" s="2"/>
      <c r="B458" s="2"/>
      <c r="C458" s="7" t="str">
        <f>"答案是： "&amp;IF(H453="A",C454,IF(H453="B",C455,IF(H453="C",C456,IF(H453=("D"),C457,"XXXX"))))</f>
        <v>答案是： (A.)民航局。</v>
      </c>
      <c r="D458" s="2"/>
      <c r="E458" s="2"/>
      <c r="F458" s="2"/>
      <c r="G458" s="2"/>
      <c r="H458" s="2"/>
      <c r="I458" s="2"/>
    </row>
    <row r="459" spans="1:9" s="3" customFormat="1" ht="30" x14ac:dyDescent="0.3">
      <c r="A459" s="2"/>
      <c r="B459" s="2"/>
      <c r="C459" s="7" t="str">
        <f>"說明："&amp;I453</f>
        <v>說明：大型遙控無人機之實體適航與安全性把關，法定主管檢驗機關一樣為「民航局」。</v>
      </c>
      <c r="D459" s="2"/>
      <c r="E459" s="2"/>
      <c r="F459" s="2"/>
      <c r="G459" s="2"/>
      <c r="H459" s="2"/>
      <c r="I459" s="2"/>
    </row>
    <row r="460" spans="1:9" s="3" customFormat="1" ht="75" x14ac:dyDescent="0.3">
      <c r="A460" s="4" t="str">
        <f>dB題庫!A73</f>
        <v>72</v>
      </c>
      <c r="B460" s="4" t="str">
        <f>dB題庫!B73</f>
        <v>自行製造、使用之最大起飛重量 25 公斤以上遙控無人機，何人可提出合併型式檢驗及實體檢驗之申請？</v>
      </c>
      <c r="C460" s="4" t="str">
        <f t="shared" si="2"/>
        <v>72.自行製造、使用之最大起飛重量 25 公斤以上遙控無人機，何人可提出合併型式檢驗及實體檢驗之申請？</v>
      </c>
      <c r="D460" s="4" t="str">
        <f>dB題庫!C73</f>
        <v>製造者。</v>
      </c>
      <c r="E460" s="4" t="str">
        <f>dB題庫!D73</f>
        <v>操作人。</v>
      </c>
      <c r="F460" s="4" t="str">
        <f>dB題庫!E73</f>
        <v>所有人。</v>
      </c>
      <c r="G460" s="4" t="str">
        <f>dB題庫!F73</f>
        <v>設計者。</v>
      </c>
      <c r="H460" s="4" t="str">
        <f>dB題庫!G73</f>
        <v>C</v>
      </c>
      <c r="I460" s="4" t="str">
        <f>dB題庫!H73</f>
        <v>個人或單一單位若「自行製造且自己要拿來使用」25公斤以上無人機，因不對外大量販售，為簡化行政程序，法規允許由該「製造者」提出將型式與實體合併檢驗之特例申請。
依「遙控無人機管理規則」第17條：自行製造、使用之遙控無人機，其所有人應依第一項規定辦理產品資訊登錄。</v>
      </c>
    </row>
    <row r="461" spans="1:9" s="3" customFormat="1" x14ac:dyDescent="0.3">
      <c r="A461" s="2" t="s">
        <v>541</v>
      </c>
      <c r="B461" s="1"/>
      <c r="C461" s="7" t="str">
        <f>"(A.)"&amp;D460</f>
        <v>(A.)製造者。</v>
      </c>
      <c r="D461" s="2"/>
      <c r="E461" s="2"/>
      <c r="F461" s="2"/>
      <c r="G461" s="2"/>
      <c r="H461" s="2"/>
      <c r="I461" s="2"/>
    </row>
    <row r="462" spans="1:9" s="3" customFormat="1" x14ac:dyDescent="0.3">
      <c r="A462" s="2"/>
      <c r="B462" s="1"/>
      <c r="C462" s="7" t="str">
        <f>"(B.)"&amp;E460</f>
        <v>(B.)操作人。</v>
      </c>
      <c r="D462" s="2"/>
      <c r="E462" s="2"/>
      <c r="F462" s="2"/>
      <c r="G462" s="2"/>
      <c r="H462" s="2"/>
      <c r="I462" s="2"/>
    </row>
    <row r="463" spans="1:9" s="3" customFormat="1" x14ac:dyDescent="0.3">
      <c r="A463" s="2"/>
      <c r="B463" s="2"/>
      <c r="C463" s="7" t="str">
        <f>"(C.)"&amp;F460</f>
        <v>(C.)所有人。</v>
      </c>
      <c r="D463" s="2"/>
      <c r="E463" s="2"/>
      <c r="F463" s="2"/>
      <c r="G463" s="2"/>
      <c r="H463" s="2"/>
      <c r="I463" s="2"/>
    </row>
    <row r="464" spans="1:9" s="3" customFormat="1" x14ac:dyDescent="0.3">
      <c r="A464" s="2"/>
      <c r="B464" s="2"/>
      <c r="C464" s="7" t="str">
        <f>"(D.)"&amp;G460</f>
        <v>(D.)設計者。</v>
      </c>
      <c r="D464" s="2"/>
      <c r="E464" s="2"/>
      <c r="F464" s="2"/>
      <c r="G464" s="2"/>
      <c r="H464" s="2"/>
      <c r="I464" s="2"/>
    </row>
    <row r="465" spans="1:9" s="3" customFormat="1" x14ac:dyDescent="0.3">
      <c r="A465" s="2"/>
      <c r="B465" s="2"/>
      <c r="C465" s="7" t="str">
        <f>"答案是： "&amp;IF(H460="A",C461,IF(H460="B",C462,IF(H460="C",C463,IF(H460=("D"),C464,"XXXX"))))</f>
        <v>答案是： (C.)所有人。</v>
      </c>
      <c r="D465" s="2"/>
      <c r="E465" s="2"/>
      <c r="F465" s="2"/>
      <c r="G465" s="2"/>
      <c r="H465" s="2"/>
      <c r="I465" s="2"/>
    </row>
    <row r="466" spans="1:9" s="3" customFormat="1" ht="105" x14ac:dyDescent="0.3">
      <c r="A466" s="2"/>
      <c r="B466" s="2"/>
      <c r="C466" s="7" t="str">
        <f>"說明："&amp;I460</f>
        <v>說明：個人或單一單位若「自行製造且自己要拿來使用」25公斤以上無人機，因不對外大量販售，為簡化行政程序，法規允許由該「製造者」提出將型式與實體合併檢驗之特例申請。
依「遙控無人機管理規則」第17條：自行製造、使用之遙控無人機，其所有人應依第一項規定辦理產品資訊登錄。</v>
      </c>
      <c r="D466" s="2"/>
      <c r="E466" s="2"/>
      <c r="F466" s="2"/>
      <c r="G466" s="2"/>
      <c r="H466" s="2"/>
      <c r="I466" s="2"/>
    </row>
    <row r="467" spans="1:9" s="3" customFormat="1" ht="45" x14ac:dyDescent="0.3">
      <c r="A467" s="4" t="str">
        <f>dB題庫!A74</f>
        <v>73</v>
      </c>
      <c r="B467" s="4" t="str">
        <f>dB題庫!B74</f>
        <v>自行製造、使用之最大起飛重量 25 公斤以上遙控無人機，可向哪個機關提出合併型式檢驗及實體檢驗之申請？</v>
      </c>
      <c r="C467" s="4" t="str">
        <f t="shared" si="2"/>
        <v>73.自行製造、使用之最大起飛重量 25 公斤以上遙控無人機，可向哪個機關提出合併型式檢驗及實體檢驗之申請？</v>
      </c>
      <c r="D467" s="4" t="str">
        <f>dB題庫!C74</f>
        <v>內政部。</v>
      </c>
      <c r="E467" s="4" t="str">
        <f>dB題庫!D74</f>
        <v>民航局。</v>
      </c>
      <c r="F467" s="4" t="str">
        <f>dB題庫!E74</f>
        <v>科技部。</v>
      </c>
      <c r="G467" s="4" t="str">
        <f>dB題庫!F74</f>
        <v>衛福部。</v>
      </c>
      <c r="H467" s="4" t="str">
        <f>dB題庫!G74</f>
        <v>B</v>
      </c>
      <c r="I467" s="4" t="str">
        <f>dB題庫!H74</f>
        <v>所有的合併檢驗與特種檢驗，其申請窗口與准駁機關均統一歸口於「民航局」。</v>
      </c>
    </row>
    <row r="468" spans="1:9" s="3" customFormat="1" x14ac:dyDescent="0.3">
      <c r="A468" s="2" t="s">
        <v>541</v>
      </c>
      <c r="B468" s="1"/>
      <c r="C468" s="7" t="str">
        <f>"(A.)"&amp;D467</f>
        <v>(A.)內政部。</v>
      </c>
      <c r="D468" s="2"/>
      <c r="E468" s="2"/>
      <c r="F468" s="2"/>
      <c r="G468" s="2"/>
      <c r="H468" s="2"/>
      <c r="I468" s="2"/>
    </row>
    <row r="469" spans="1:9" s="3" customFormat="1" x14ac:dyDescent="0.3">
      <c r="A469" s="2"/>
      <c r="B469" s="1"/>
      <c r="C469" s="7" t="str">
        <f>"(B.)"&amp;E467</f>
        <v>(B.)民航局。</v>
      </c>
      <c r="D469" s="2"/>
      <c r="E469" s="2"/>
      <c r="F469" s="2"/>
      <c r="G469" s="2"/>
      <c r="H469" s="2"/>
      <c r="I469" s="2"/>
    </row>
    <row r="470" spans="1:9" s="3" customFormat="1" x14ac:dyDescent="0.3">
      <c r="A470" s="2"/>
      <c r="B470" s="2"/>
      <c r="C470" s="7" t="str">
        <f>"(C.)"&amp;F467</f>
        <v>(C.)科技部。</v>
      </c>
      <c r="D470" s="2"/>
      <c r="E470" s="2"/>
      <c r="F470" s="2"/>
      <c r="G470" s="2"/>
      <c r="H470" s="2"/>
      <c r="I470" s="2"/>
    </row>
    <row r="471" spans="1:9" s="3" customFormat="1" x14ac:dyDescent="0.3">
      <c r="A471" s="2"/>
      <c r="B471" s="2"/>
      <c r="C471" s="7" t="str">
        <f>"(D.)"&amp;G467</f>
        <v>(D.)衛福部。</v>
      </c>
      <c r="D471" s="2"/>
      <c r="E471" s="2"/>
      <c r="F471" s="2"/>
      <c r="G471" s="2"/>
      <c r="H471" s="2"/>
      <c r="I471" s="2"/>
    </row>
    <row r="472" spans="1:9" s="3" customFormat="1" x14ac:dyDescent="0.3">
      <c r="A472" s="2"/>
      <c r="B472" s="2"/>
      <c r="C472" s="7" t="str">
        <f>"答案是： "&amp;IF(H467="A",C468,IF(H467="B",C469,IF(H467="C",C470,IF(H467=("D"),C471,"XXXX"))))</f>
        <v>答案是： (B.)民航局。</v>
      </c>
      <c r="D472" s="2"/>
      <c r="E472" s="2"/>
      <c r="F472" s="2"/>
      <c r="G472" s="2"/>
      <c r="H472" s="2"/>
      <c r="I472" s="2"/>
    </row>
    <row r="473" spans="1:9" s="3" customFormat="1" ht="30" x14ac:dyDescent="0.3">
      <c r="A473" s="2"/>
      <c r="B473" s="2"/>
      <c r="C473" s="7" t="str">
        <f>"說明："&amp;I467</f>
        <v>說明：所有的合併檢驗與特種檢驗，其申請窗口與准駁機關均統一歸口於「民航局」。</v>
      </c>
      <c r="D473" s="2"/>
      <c r="E473" s="2"/>
      <c r="F473" s="2"/>
      <c r="G473" s="2"/>
      <c r="H473" s="2"/>
      <c r="I473" s="2"/>
    </row>
    <row r="474" spans="1:9" s="3" customFormat="1" ht="60" x14ac:dyDescent="0.3">
      <c r="A474" s="4" t="str">
        <f>dB題庫!A75</f>
        <v>74</v>
      </c>
      <c r="B474" s="4" t="str">
        <f>dB題庫!B75</f>
        <v>實體檢驗合格證或特種實體檢驗合格證之記載事項如有變更時，下列敘述何者正確？</v>
      </c>
      <c r="C474" s="4" t="str">
        <f t="shared" si="2"/>
        <v>74.實體檢驗合格證或特種實體檢驗合格證之記載事項如有變更時，下列敘述何者正確？</v>
      </c>
      <c r="D474" s="4" t="str">
        <f>dB題庫!C75</f>
        <v>製造者應於事實發生日起 15 日內申請換發。</v>
      </c>
      <c r="E474" s="4" t="str">
        <f>dB題庫!D75</f>
        <v>設計者應於事實發生日起 10 日內申請換發。</v>
      </c>
      <c r="F474" s="4" t="str">
        <f>dB題庫!E75</f>
        <v>操作人應於事實發生日起 7 日內申請換發。</v>
      </c>
      <c r="G474" s="4" t="str">
        <f>dB題庫!F75</f>
        <v>所有人應於事實發生日起 15 日內申請換發。</v>
      </c>
      <c r="H474" s="4" t="str">
        <f>dB題庫!G75</f>
        <v>D</v>
      </c>
      <c r="I474" s="4" t="str">
        <f>dB題庫!H75</f>
        <v>實體檢驗合格證是由「所有人」持有之法定登載文件。若合格證上的登載內容（如所有人資料或重要性能更動）發生變更，該「所有人」應於事實發生日起「15日內」向民航局申請換發。</v>
      </c>
    </row>
    <row r="475" spans="1:9" s="3" customFormat="1" ht="30" x14ac:dyDescent="0.3">
      <c r="A475" s="2" t="s">
        <v>541</v>
      </c>
      <c r="B475" s="1"/>
      <c r="C475" s="7" t="str">
        <f>"(A.)"&amp;D474</f>
        <v>(A.)製造者應於事實發生日起 15 日內申請換發。</v>
      </c>
      <c r="D475" s="2"/>
      <c r="E475" s="2"/>
      <c r="F475" s="2"/>
      <c r="G475" s="2"/>
      <c r="H475" s="2"/>
      <c r="I475" s="2"/>
    </row>
    <row r="476" spans="1:9" s="3" customFormat="1" ht="30" x14ac:dyDescent="0.3">
      <c r="A476" s="2"/>
      <c r="B476" s="1"/>
      <c r="C476" s="7" t="str">
        <f>"(B.)"&amp;E474</f>
        <v>(B.)設計者應於事實發生日起 10 日內申請換發。</v>
      </c>
      <c r="D476" s="2"/>
      <c r="E476" s="2"/>
      <c r="F476" s="2"/>
      <c r="G476" s="2"/>
      <c r="H476" s="2"/>
      <c r="I476" s="2"/>
    </row>
    <row r="477" spans="1:9" s="3" customFormat="1" x14ac:dyDescent="0.3">
      <c r="A477" s="2"/>
      <c r="B477" s="2"/>
      <c r="C477" s="7" t="str">
        <f>"(C.)"&amp;F474</f>
        <v>(C.)操作人應於事實發生日起 7 日內申請換發。</v>
      </c>
      <c r="D477" s="2"/>
      <c r="E477" s="2"/>
      <c r="F477" s="2"/>
      <c r="G477" s="2"/>
      <c r="H477" s="2"/>
      <c r="I477" s="2"/>
    </row>
    <row r="478" spans="1:9" s="3" customFormat="1" ht="30" x14ac:dyDescent="0.3">
      <c r="A478" s="2"/>
      <c r="B478" s="2"/>
      <c r="C478" s="7" t="str">
        <f>"(D.)"&amp;G474</f>
        <v>(D.)所有人應於事實發生日起 15 日內申請換發。</v>
      </c>
      <c r="D478" s="2"/>
      <c r="E478" s="2"/>
      <c r="F478" s="2"/>
      <c r="G478" s="2"/>
      <c r="H478" s="2"/>
      <c r="I478" s="2"/>
    </row>
    <row r="479" spans="1:9" s="3" customFormat="1" ht="30" x14ac:dyDescent="0.3">
      <c r="A479" s="2"/>
      <c r="B479" s="2"/>
      <c r="C479" s="7" t="str">
        <f>"答案是： "&amp;IF(H474="A",C475,IF(H474="B",C476,IF(H474="C",C477,IF(H474=("D"),C478,"XXXX"))))</f>
        <v>答案是： (D.)所有人應於事實發生日起 15 日內申請換發。</v>
      </c>
      <c r="D479" s="2"/>
      <c r="E479" s="2"/>
      <c r="F479" s="2"/>
      <c r="G479" s="2"/>
      <c r="H479" s="2"/>
      <c r="I479" s="2"/>
    </row>
    <row r="480" spans="1:9" s="3" customFormat="1" ht="75" x14ac:dyDescent="0.3">
      <c r="A480" s="2"/>
      <c r="B480" s="2"/>
      <c r="C480" s="7" t="str">
        <f>"說明："&amp;I474</f>
        <v>說明：實體檢驗合格證是由「所有人」持有之法定登載文件。若合格證上的登載內容（如所有人資料或重要性能更動）發生變更，該「所有人」應於事實發生日起「15日內」向民航局申請換發。</v>
      </c>
      <c r="D480" s="2"/>
      <c r="E480" s="2"/>
      <c r="F480" s="2"/>
      <c r="G480" s="2"/>
      <c r="H480" s="2"/>
      <c r="I480" s="2"/>
    </row>
    <row r="481" spans="1:9" s="3" customFormat="1" ht="30" x14ac:dyDescent="0.3">
      <c r="A481" s="4" t="str">
        <f>dB題庫!A76</f>
        <v>75</v>
      </c>
      <c r="B481" s="4" t="str">
        <f>dB題庫!B76</f>
        <v>有關遙控無人機製造者與進口者申請產品資訊登錄時機，下列敘述何者正確？</v>
      </c>
      <c r="C481" s="4" t="str">
        <f t="shared" si="2"/>
        <v>75.有關遙控無人機製造者與進口者申請產品資訊登錄時機，下列敘述何者正確？</v>
      </c>
      <c r="D481" s="4" t="str">
        <f>dB題庫!C76</f>
        <v>販售或進口前。</v>
      </c>
      <c r="E481" s="4" t="str">
        <f>dB題庫!D76</f>
        <v>販售或進口時。</v>
      </c>
      <c r="F481" s="4" t="str">
        <f>dB題庫!E76</f>
        <v>販售或進口後。</v>
      </c>
      <c r="G481" s="4" t="str">
        <f>dB題庫!F76</f>
        <v>以上皆可。</v>
      </c>
      <c r="H481" s="4" t="str">
        <f>dB題庫!G76</f>
        <v>A</v>
      </c>
      <c r="I481" s="4" t="str">
        <f>dB題庫!H76</f>
        <v>為落實源頭管理，防止不合格產品流入市面，製造商在產品「販售前」、進口商在產品「進口前」，即必須完成產品資訊的登錄，故選 (A)。</v>
      </c>
    </row>
    <row r="482" spans="1:9" s="3" customFormat="1" x14ac:dyDescent="0.3">
      <c r="A482" s="2" t="s">
        <v>541</v>
      </c>
      <c r="B482" s="1"/>
      <c r="C482" s="7" t="str">
        <f>"(A.)"&amp;D481</f>
        <v>(A.)販售或進口前。</v>
      </c>
      <c r="D482" s="2"/>
      <c r="E482" s="2"/>
      <c r="F482" s="2"/>
      <c r="G482" s="2"/>
      <c r="H482" s="2"/>
      <c r="I482" s="2"/>
    </row>
    <row r="483" spans="1:9" s="3" customFormat="1" x14ac:dyDescent="0.3">
      <c r="A483" s="2"/>
      <c r="B483" s="1"/>
      <c r="C483" s="7" t="str">
        <f>"(B.)"&amp;E481</f>
        <v>(B.)販售或進口時。</v>
      </c>
      <c r="D483" s="2"/>
      <c r="E483" s="2"/>
      <c r="F483" s="2"/>
      <c r="G483" s="2"/>
      <c r="H483" s="2"/>
      <c r="I483" s="2"/>
    </row>
    <row r="484" spans="1:9" s="3" customFormat="1" x14ac:dyDescent="0.3">
      <c r="A484" s="2"/>
      <c r="B484" s="2"/>
      <c r="C484" s="7" t="str">
        <f>"(C.)"&amp;F481</f>
        <v>(C.)販售或進口後。</v>
      </c>
      <c r="D484" s="2"/>
      <c r="E484" s="2"/>
      <c r="F484" s="2"/>
      <c r="G484" s="2"/>
      <c r="H484" s="2"/>
      <c r="I484" s="2"/>
    </row>
    <row r="485" spans="1:9" s="3" customFormat="1" x14ac:dyDescent="0.3">
      <c r="A485" s="2"/>
      <c r="B485" s="2"/>
      <c r="C485" s="7" t="str">
        <f>"(D.)"&amp;G481</f>
        <v>(D.)以上皆可。</v>
      </c>
      <c r="D485" s="2"/>
      <c r="E485" s="2"/>
      <c r="F485" s="2"/>
      <c r="G485" s="2"/>
      <c r="H485" s="2"/>
      <c r="I485" s="2"/>
    </row>
    <row r="486" spans="1:9" s="3" customFormat="1" x14ac:dyDescent="0.3">
      <c r="A486" s="2"/>
      <c r="B486" s="2"/>
      <c r="C486" s="7" t="str">
        <f>"答案是： "&amp;IF(H481="A",C482,IF(H481="B",C483,IF(H481="C",C484,IF(H481=("D"),C485,"XXXX"))))</f>
        <v>答案是： (A.)販售或進口前。</v>
      </c>
      <c r="D486" s="2"/>
      <c r="E486" s="2"/>
      <c r="F486" s="2"/>
      <c r="G486" s="2"/>
      <c r="H486" s="2"/>
      <c r="I486" s="2"/>
    </row>
    <row r="487" spans="1:9" s="3" customFormat="1" ht="60" x14ac:dyDescent="0.3">
      <c r="A487" s="2"/>
      <c r="B487" s="2"/>
      <c r="C487" s="7" t="str">
        <f>"說明："&amp;I481</f>
        <v>說明：為落實源頭管理，防止不合格產品流入市面，製造商在產品「販售前」、進口商在產品「進口前」，即必須完成產品資訊的登錄，故選 (A)。</v>
      </c>
      <c r="D487" s="2"/>
      <c r="E487" s="2"/>
      <c r="F487" s="2"/>
      <c r="G487" s="2"/>
      <c r="H487" s="2"/>
      <c r="I487" s="2"/>
    </row>
    <row r="488" spans="1:9" s="3" customFormat="1" ht="30" x14ac:dyDescent="0.3">
      <c r="A488" s="4" t="str">
        <f>dB題庫!A77</f>
        <v>76</v>
      </c>
      <c r="B488" s="4" t="str">
        <f>dB題庫!B77</f>
        <v>遙控無人機製造者與進口者應向哪個機關申請產品資訊登錄？</v>
      </c>
      <c r="C488" s="4" t="str">
        <f t="shared" si="2"/>
        <v>76.遙控無人機製造者與進口者應向哪個機關申請產品資訊登錄？</v>
      </c>
      <c r="D488" s="4" t="str">
        <f>dB題庫!C77</f>
        <v>內政部。</v>
      </c>
      <c r="E488" s="4" t="str">
        <f>dB題庫!D77</f>
        <v>科技部。</v>
      </c>
      <c r="F488" s="4" t="str">
        <f>dB題庫!E77</f>
        <v>民航局。</v>
      </c>
      <c r="G488" s="4" t="str">
        <f>dB題庫!F77</f>
        <v>經濟部。</v>
      </c>
      <c r="H488" s="4" t="str">
        <f>dB題庫!G77</f>
        <v>C</v>
      </c>
      <c r="I488" s="4" t="str">
        <f>dB題庫!H77</f>
        <v>產品資訊登錄管理平台，是由無人機業務總管機關「民航局」所建立與維護，因此登錄作業須向民航局提出。</v>
      </c>
    </row>
    <row r="489" spans="1:9" s="3" customFormat="1" x14ac:dyDescent="0.3">
      <c r="A489" s="2" t="s">
        <v>541</v>
      </c>
      <c r="B489" s="1"/>
      <c r="C489" s="7" t="str">
        <f>"(A.)"&amp;D488</f>
        <v>(A.)內政部。</v>
      </c>
      <c r="D489" s="2"/>
      <c r="E489" s="2"/>
      <c r="F489" s="2"/>
      <c r="G489" s="2"/>
      <c r="H489" s="2"/>
      <c r="I489" s="2"/>
    </row>
    <row r="490" spans="1:9" s="3" customFormat="1" x14ac:dyDescent="0.3">
      <c r="A490" s="2"/>
      <c r="B490" s="1"/>
      <c r="C490" s="7" t="str">
        <f>"(B.)"&amp;E488</f>
        <v>(B.)科技部。</v>
      </c>
      <c r="D490" s="2"/>
      <c r="E490" s="2"/>
      <c r="F490" s="2"/>
      <c r="G490" s="2"/>
      <c r="H490" s="2"/>
      <c r="I490" s="2"/>
    </row>
    <row r="491" spans="1:9" s="3" customFormat="1" x14ac:dyDescent="0.3">
      <c r="A491" s="2"/>
      <c r="B491" s="2"/>
      <c r="C491" s="7" t="str">
        <f>"(C.)"&amp;F488</f>
        <v>(C.)民航局。</v>
      </c>
      <c r="D491" s="2"/>
      <c r="E491" s="2"/>
      <c r="F491" s="2"/>
      <c r="G491" s="2"/>
      <c r="H491" s="2"/>
      <c r="I491" s="2"/>
    </row>
    <row r="492" spans="1:9" s="3" customFormat="1" x14ac:dyDescent="0.3">
      <c r="A492" s="2"/>
      <c r="B492" s="2"/>
      <c r="C492" s="7" t="str">
        <f>"(D.)"&amp;G488</f>
        <v>(D.)經濟部。</v>
      </c>
      <c r="D492" s="2"/>
      <c r="E492" s="2"/>
      <c r="F492" s="2"/>
      <c r="G492" s="2"/>
      <c r="H492" s="2"/>
      <c r="I492" s="2"/>
    </row>
    <row r="493" spans="1:9" s="3" customFormat="1" x14ac:dyDescent="0.3">
      <c r="A493" s="2"/>
      <c r="B493" s="2"/>
      <c r="C493" s="7" t="str">
        <f>"答案是： "&amp;IF(H488="A",C489,IF(H488="B",C490,IF(H488="C",C491,IF(H488=("D"),C492,"XXXX"))))</f>
        <v>答案是： (C.)民航局。</v>
      </c>
      <c r="D493" s="2"/>
      <c r="E493" s="2"/>
      <c r="F493" s="2"/>
      <c r="G493" s="2"/>
      <c r="H493" s="2"/>
      <c r="I493" s="2"/>
    </row>
    <row r="494" spans="1:9" s="3" customFormat="1" ht="45" x14ac:dyDescent="0.3">
      <c r="A494" s="2"/>
      <c r="B494" s="2"/>
      <c r="C494" s="7" t="str">
        <f>"說明："&amp;I488</f>
        <v>說明：產品資訊登錄管理平台，是由無人機業務總管機關「民航局」所建立與維護，因此登錄作業須向民航局提出。</v>
      </c>
      <c r="D494" s="2"/>
      <c r="E494" s="2"/>
      <c r="F494" s="2"/>
      <c r="G494" s="2"/>
      <c r="H494" s="2"/>
      <c r="I494" s="2"/>
    </row>
    <row r="495" spans="1:9" s="3" customFormat="1" ht="60" x14ac:dyDescent="0.3">
      <c r="A495" s="4" t="str">
        <f>dB題庫!A78</f>
        <v>77</v>
      </c>
      <c r="B495" s="4" t="str">
        <f>dB題庫!B78</f>
        <v>最大起飛重量 25 公斤以上之遙控無人機因系統設計、製造或改裝缺失而致有不安全情況時，下列何者為非？</v>
      </c>
      <c r="C495" s="4" t="str">
        <f t="shared" si="2"/>
        <v>77.最大起飛重量 25 公斤以上之遙控無人機因系統設計、製造或改裝缺失而致有不安全情況時，下列何者為非？</v>
      </c>
      <c r="D495" s="4" t="str">
        <f>dB題庫!C78</f>
        <v>設計者應針對該缺失採取補正措施。</v>
      </c>
      <c r="E495" s="4" t="str">
        <f>dB題庫!D78</f>
        <v>製造者應針對該缺失採取補正措施。</v>
      </c>
      <c r="F495" s="4" t="str">
        <f>dB題庫!E78</f>
        <v>改裝者應針對該缺失採取補正措施。</v>
      </c>
      <c r="G495" s="4" t="str">
        <f>dB題庫!F78</f>
        <v>無須採取任何補正措施。</v>
      </c>
      <c r="H495" s="4" t="str">
        <f>dB題庫!G78</f>
        <v>D</v>
      </c>
      <c r="I495" s="4" t="str">
        <f>dB題庫!H78</f>
        <v>大於25公斤之機器如發現系統性的致命缺陷，原廠的設計者、製造者或進行變更的改裝者，皆有法律責任召回或實施安全補正措施。因此 (D) 稱「無須採取任何措施」為明顯錯誤之非正確敘述。</v>
      </c>
    </row>
    <row r="496" spans="1:9" s="3" customFormat="1" x14ac:dyDescent="0.3">
      <c r="A496" s="2" t="s">
        <v>541</v>
      </c>
      <c r="B496" s="1"/>
      <c r="C496" s="7" t="str">
        <f>"(A.)"&amp;D495</f>
        <v>(A.)設計者應針對該缺失採取補正措施。</v>
      </c>
      <c r="D496" s="2"/>
      <c r="E496" s="2"/>
      <c r="F496" s="2"/>
      <c r="G496" s="2"/>
      <c r="H496" s="2"/>
      <c r="I496" s="2"/>
    </row>
    <row r="497" spans="1:9" s="3" customFormat="1" x14ac:dyDescent="0.3">
      <c r="A497" s="2"/>
      <c r="B497" s="1"/>
      <c r="C497" s="7" t="str">
        <f>"(B.)"&amp;E495</f>
        <v>(B.)製造者應針對該缺失採取補正措施。</v>
      </c>
      <c r="D497" s="2"/>
      <c r="E497" s="2"/>
      <c r="F497" s="2"/>
      <c r="G497" s="2"/>
      <c r="H497" s="2"/>
      <c r="I497" s="2"/>
    </row>
    <row r="498" spans="1:9" s="3" customFormat="1" x14ac:dyDescent="0.3">
      <c r="A498" s="2"/>
      <c r="B498" s="2"/>
      <c r="C498" s="7" t="str">
        <f>"(C.)"&amp;F495</f>
        <v>(C.)改裝者應針對該缺失採取補正措施。</v>
      </c>
      <c r="D498" s="2"/>
      <c r="E498" s="2"/>
      <c r="F498" s="2"/>
      <c r="G498" s="2"/>
      <c r="H498" s="2"/>
      <c r="I498" s="2"/>
    </row>
    <row r="499" spans="1:9" s="3" customFormat="1" x14ac:dyDescent="0.3">
      <c r="A499" s="2"/>
      <c r="B499" s="2"/>
      <c r="C499" s="7" t="str">
        <f>"(D.)"&amp;G495</f>
        <v>(D.)無須採取任何補正措施。</v>
      </c>
      <c r="D499" s="2"/>
      <c r="E499" s="2"/>
      <c r="F499" s="2"/>
      <c r="G499" s="2"/>
      <c r="H499" s="2"/>
      <c r="I499" s="2"/>
    </row>
    <row r="500" spans="1:9" s="3" customFormat="1" x14ac:dyDescent="0.3">
      <c r="A500" s="2"/>
      <c r="B500" s="2"/>
      <c r="C500" s="7" t="str">
        <f>"答案是： "&amp;IF(H495="A",C496,IF(H495="B",C497,IF(H495="C",C498,IF(H495=("D"),C499,"XXXX"))))</f>
        <v>答案是： (D.)無須採取任何補正措施。</v>
      </c>
      <c r="D500" s="2"/>
      <c r="E500" s="2"/>
      <c r="F500" s="2"/>
      <c r="G500" s="2"/>
      <c r="H500" s="2"/>
      <c r="I500" s="2"/>
    </row>
    <row r="501" spans="1:9" s="3" customFormat="1" ht="75" x14ac:dyDescent="0.3">
      <c r="A501" s="2"/>
      <c r="B501" s="2"/>
      <c r="C501" s="7" t="str">
        <f>"說明："&amp;I495</f>
        <v>說明：大於25公斤之機器如發現系統性的致命缺陷，原廠的設計者、製造者或進行變更的改裝者，皆有法律責任召回或實施安全補正措施。因此 (D) 稱「無須採取任何措施」為明顯錯誤之非正確敘述。</v>
      </c>
      <c r="D501" s="2"/>
      <c r="E501" s="2"/>
      <c r="F501" s="2"/>
      <c r="G501" s="2"/>
      <c r="H501" s="2"/>
      <c r="I501" s="2"/>
    </row>
    <row r="502" spans="1:9" s="3" customFormat="1" ht="45" x14ac:dyDescent="0.3">
      <c r="A502" s="4" t="str">
        <f>dB題庫!A79</f>
        <v>78</v>
      </c>
      <c r="B502" s="4" t="str">
        <f>dB題庫!B79</f>
        <v>操作政府機關（構）、學校或法人所有遙控無人機之操作人應持有民航局發給之何種證照，始得操作？</v>
      </c>
      <c r="C502" s="4" t="str">
        <f t="shared" si="2"/>
        <v>78.操作政府機關（構）、學校或法人所有遙控無人機之操作人應持有民航局發給之何種證照，始得操作？</v>
      </c>
      <c r="D502" s="4" t="str">
        <f>dB題庫!C79</f>
        <v>機師檢定證。</v>
      </c>
      <c r="E502" s="4" t="str">
        <f>dB題庫!D79</f>
        <v>操作證。</v>
      </c>
      <c r="F502" s="4" t="str">
        <f>dB題庫!E79</f>
        <v>維修檢定證。</v>
      </c>
      <c r="G502" s="4" t="str">
        <f>dB題庫!F79</f>
        <v>鑑定合格證。</v>
      </c>
      <c r="H502" s="4" t="str">
        <f>dB題庫!G79</f>
        <v>B</v>
      </c>
      <c r="I502" s="4" t="str">
        <f>dB題庫!H79</f>
        <v>法人單位的公務飛行安全要求高，不論飛機重量多輕，其操作人都必須考取並持有民航局核發的無人機「操作證」（具體通常為專業操作證），始得執行公務。</v>
      </c>
    </row>
    <row r="503" spans="1:9" s="3" customFormat="1" x14ac:dyDescent="0.3">
      <c r="A503" s="2" t="s">
        <v>541</v>
      </c>
      <c r="B503" s="1"/>
      <c r="C503" s="7" t="str">
        <f>"(A.)"&amp;D502</f>
        <v>(A.)機師檢定證。</v>
      </c>
      <c r="D503" s="2"/>
      <c r="E503" s="2"/>
      <c r="F503" s="2"/>
      <c r="G503" s="2"/>
      <c r="H503" s="2"/>
      <c r="I503" s="2"/>
    </row>
    <row r="504" spans="1:9" s="3" customFormat="1" x14ac:dyDescent="0.3">
      <c r="A504" s="2"/>
      <c r="B504" s="1"/>
      <c r="C504" s="7" t="str">
        <f>"(B.)"&amp;E502</f>
        <v>(B.)操作證。</v>
      </c>
      <c r="D504" s="2"/>
      <c r="E504" s="2"/>
      <c r="F504" s="2"/>
      <c r="G504" s="2"/>
      <c r="H504" s="2"/>
      <c r="I504" s="2"/>
    </row>
    <row r="505" spans="1:9" s="3" customFormat="1" x14ac:dyDescent="0.3">
      <c r="A505" s="2"/>
      <c r="B505" s="2"/>
      <c r="C505" s="7" t="str">
        <f>"(C.)"&amp;F502</f>
        <v>(C.)維修檢定證。</v>
      </c>
      <c r="D505" s="2"/>
      <c r="E505" s="2"/>
      <c r="F505" s="2"/>
      <c r="G505" s="2"/>
      <c r="H505" s="2"/>
      <c r="I505" s="2"/>
    </row>
    <row r="506" spans="1:9" s="3" customFormat="1" x14ac:dyDescent="0.3">
      <c r="A506" s="2"/>
      <c r="B506" s="2"/>
      <c r="C506" s="7" t="str">
        <f>"(D.)"&amp;G502</f>
        <v>(D.)鑑定合格證。</v>
      </c>
      <c r="D506" s="2"/>
      <c r="E506" s="2"/>
      <c r="F506" s="2"/>
      <c r="G506" s="2"/>
      <c r="H506" s="2"/>
      <c r="I506" s="2"/>
    </row>
    <row r="507" spans="1:9" s="3" customFormat="1" x14ac:dyDescent="0.3">
      <c r="A507" s="2"/>
      <c r="B507" s="2"/>
      <c r="C507" s="7" t="str">
        <f>"答案是： "&amp;IF(H502="A",C503,IF(H502="B",C504,IF(H502="C",C505,IF(H502=("D"),C506,"XXXX"))))</f>
        <v>答案是： (B.)操作證。</v>
      </c>
      <c r="D507" s="2"/>
      <c r="E507" s="2"/>
      <c r="F507" s="2"/>
      <c r="G507" s="2"/>
      <c r="H507" s="2"/>
      <c r="I507" s="2"/>
    </row>
    <row r="508" spans="1:9" s="3" customFormat="1" ht="60" x14ac:dyDescent="0.3">
      <c r="A508" s="2"/>
      <c r="B508" s="2"/>
      <c r="C508" s="7" t="str">
        <f>"說明："&amp;I502</f>
        <v>說明：法人單位的公務飛行安全要求高，不論飛機重量多輕，其操作人都必須考取並持有民航局核發的無人機「操作證」（具體通常為專業操作證），始得執行公務。</v>
      </c>
      <c r="D508" s="2"/>
      <c r="E508" s="2"/>
      <c r="F508" s="2"/>
      <c r="G508" s="2"/>
      <c r="H508" s="2"/>
      <c r="I508" s="2"/>
    </row>
    <row r="509" spans="1:9" s="3" customFormat="1" ht="45" x14ac:dyDescent="0.3">
      <c r="A509" s="4" t="str">
        <f>dB題庫!A80</f>
        <v>79</v>
      </c>
      <c r="B509" s="4" t="str">
        <f>dB題庫!B80</f>
        <v>有關遙控無人機操作證之分類，下列何者為非？</v>
      </c>
      <c r="C509" s="4" t="str">
        <f t="shared" si="2"/>
        <v>79.有關遙控無人機操作證之分類，下列何者為非？</v>
      </c>
      <c r="D509" s="4" t="str">
        <f>dB題庫!C80</f>
        <v>暫時操作證。</v>
      </c>
      <c r="E509" s="4" t="str">
        <f>dB題庫!D80</f>
        <v>普通操作證。</v>
      </c>
      <c r="F509" s="4" t="str">
        <f>dB題庫!E80</f>
        <v>專業操作證。</v>
      </c>
      <c r="G509" s="4" t="str">
        <f>dB題庫!F80</f>
        <v>學習操作證。</v>
      </c>
      <c r="H509" s="4" t="str">
        <f>dB題庫!G80</f>
        <v>A</v>
      </c>
      <c r="I509" s="4" t="str">
        <f>dB題庫!H80</f>
        <v>我國法規定義的遙控無人機操作證僅劃分為三種：學習操作證（供練習用）、普通操作證（自然人綠區休閒大重量用）以及專業操作證（法人、特殊操作用）。並無「暫時操作證」此一分類。</v>
      </c>
    </row>
    <row r="510" spans="1:9" s="3" customFormat="1" x14ac:dyDescent="0.3">
      <c r="A510" s="2" t="s">
        <v>541</v>
      </c>
      <c r="B510" s="1"/>
      <c r="C510" s="7" t="str">
        <f>"(A.)"&amp;D509</f>
        <v>(A.)暫時操作證。</v>
      </c>
      <c r="D510" s="2"/>
      <c r="E510" s="2"/>
      <c r="F510" s="2"/>
      <c r="G510" s="2"/>
      <c r="H510" s="2"/>
      <c r="I510" s="2"/>
    </row>
    <row r="511" spans="1:9" s="3" customFormat="1" x14ac:dyDescent="0.3">
      <c r="A511" s="2"/>
      <c r="B511" s="1"/>
      <c r="C511" s="7" t="str">
        <f>"(B.)"&amp;E509</f>
        <v>(B.)普通操作證。</v>
      </c>
      <c r="D511" s="2"/>
      <c r="E511" s="2"/>
      <c r="F511" s="2"/>
      <c r="G511" s="2"/>
      <c r="H511" s="2"/>
      <c r="I511" s="2"/>
    </row>
    <row r="512" spans="1:9" s="3" customFormat="1" x14ac:dyDescent="0.3">
      <c r="A512" s="2"/>
      <c r="B512" s="2"/>
      <c r="C512" s="7" t="str">
        <f>"(C.)"&amp;F509</f>
        <v>(C.)專業操作證。</v>
      </c>
      <c r="D512" s="2"/>
      <c r="E512" s="2"/>
      <c r="F512" s="2"/>
      <c r="G512" s="2"/>
      <c r="H512" s="2"/>
      <c r="I512" s="2"/>
    </row>
    <row r="513" spans="1:9" s="3" customFormat="1" x14ac:dyDescent="0.3">
      <c r="A513" s="2"/>
      <c r="B513" s="2"/>
      <c r="C513" s="7" t="str">
        <f>"(D.)"&amp;G509</f>
        <v>(D.)學習操作證。</v>
      </c>
      <c r="D513" s="2"/>
      <c r="E513" s="2"/>
      <c r="F513" s="2"/>
      <c r="G513" s="2"/>
      <c r="H513" s="2"/>
      <c r="I513" s="2"/>
    </row>
    <row r="514" spans="1:9" s="3" customFormat="1" x14ac:dyDescent="0.3">
      <c r="A514" s="2"/>
      <c r="B514" s="2"/>
      <c r="C514" s="7" t="str">
        <f>"答案是： "&amp;IF(H509="A",C510,IF(H509="B",C511,IF(H509="C",C512,IF(H509=("D"),C513,"XXXX"))))</f>
        <v>答案是： (A.)暫時操作證。</v>
      </c>
      <c r="D514" s="2"/>
      <c r="E514" s="2"/>
      <c r="F514" s="2"/>
      <c r="G514" s="2"/>
      <c r="H514" s="2"/>
      <c r="I514" s="2"/>
    </row>
    <row r="515" spans="1:9" s="3" customFormat="1" ht="75" x14ac:dyDescent="0.3">
      <c r="A515" s="2"/>
      <c r="B515" s="2"/>
      <c r="C515" s="7" t="str">
        <f>"說明："&amp;I509</f>
        <v>說明：我國法規定義的遙控無人機操作證僅劃分為三種：學習操作證（供練習用）、普通操作證（自然人綠區休閒大重量用）以及專業操作證（法人、特殊操作用）。並無「暫時操作證」此一分類。</v>
      </c>
      <c r="D515" s="2"/>
      <c r="E515" s="2"/>
      <c r="F515" s="2"/>
      <c r="G515" s="2"/>
      <c r="H515" s="2"/>
      <c r="I515" s="2"/>
    </row>
    <row r="516" spans="1:9" s="3" customFormat="1" ht="75" x14ac:dyDescent="0.3">
      <c r="A516" s="4" t="str">
        <f>dB題庫!A81</f>
        <v>80</v>
      </c>
      <c r="B516" s="4" t="str">
        <f>dB題庫!B81</f>
        <v>自然人欲以遙控無人機從事休閒娛樂用途，下列有關考照需求敘述何者正確？</v>
      </c>
      <c r="C516" s="4" t="str">
        <f t="shared" si="2"/>
        <v>80.自然人欲以遙控無人機從事休閒娛樂用途，下列有關考照需求敘述何者正確？</v>
      </c>
      <c r="D516" s="4" t="str">
        <f>dB題庫!C81</f>
        <v>操作 10 公斤且裝置導航設備之遙控無人機不需考照。</v>
      </c>
      <c r="E516" s="4" t="str">
        <f>dB題庫!D81</f>
        <v>操作未達 2 公斤之遙控無人機不須考照。</v>
      </c>
      <c r="F516" s="4" t="str">
        <f>dB題庫!E81</f>
        <v>操作 15 公斤以上之遙控無人機僅需通過學科測驗。</v>
      </c>
      <c r="G516" s="4" t="str">
        <f>dB題庫!F81</f>
        <v>操作未達 2 公斤之遙控無人機須通過學科測驗。</v>
      </c>
      <c r="H516" s="4" t="str">
        <f>dB題庫!G81</f>
        <v>B</v>
      </c>
      <c r="I516" s="4" t="str">
        <f>dB題庫!H81</f>
        <v>自然人（個人個人）休閒飛行管理採分級制：(1) 操作「未達2公斤」且為基本休閒無人機，法規完全豁免免考照；(2) 2公斤至未達15公斤須考取普通操作證（僅需學科）；(3) 15公斤以上須普通操作證（須學+術科）。故僅 (B) 正確。</v>
      </c>
    </row>
    <row r="517" spans="1:9" s="3" customFormat="1" ht="30" x14ac:dyDescent="0.3">
      <c r="A517" s="2" t="s">
        <v>541</v>
      </c>
      <c r="B517" s="1"/>
      <c r="C517" s="7" t="str">
        <f>"(A.)"&amp;D516</f>
        <v>(A.)操作 10 公斤且裝置導航設備之遙控無人機不需考照。</v>
      </c>
      <c r="D517" s="2"/>
      <c r="E517" s="2"/>
      <c r="F517" s="2"/>
      <c r="G517" s="2"/>
      <c r="H517" s="2"/>
      <c r="I517" s="2"/>
    </row>
    <row r="518" spans="1:9" s="3" customFormat="1" x14ac:dyDescent="0.3">
      <c r="A518" s="2"/>
      <c r="B518" s="1"/>
      <c r="C518" s="7" t="str">
        <f>"(B.)"&amp;E516</f>
        <v>(B.)操作未達 2 公斤之遙控無人機不須考照。</v>
      </c>
      <c r="D518" s="2"/>
      <c r="E518" s="2"/>
      <c r="F518" s="2"/>
      <c r="G518" s="2"/>
      <c r="H518" s="2"/>
      <c r="I518" s="2"/>
    </row>
    <row r="519" spans="1:9" s="3" customFormat="1" ht="30" x14ac:dyDescent="0.3">
      <c r="A519" s="2"/>
      <c r="B519" s="2"/>
      <c r="C519" s="7" t="str">
        <f>"(C.)"&amp;F516</f>
        <v>(C.)操作 15 公斤以上之遙控無人機僅需通過學科測驗。</v>
      </c>
      <c r="D519" s="2"/>
      <c r="E519" s="2"/>
      <c r="F519" s="2"/>
      <c r="G519" s="2"/>
      <c r="H519" s="2"/>
      <c r="I519" s="2"/>
    </row>
    <row r="520" spans="1:9" s="3" customFormat="1" ht="30" x14ac:dyDescent="0.3">
      <c r="A520" s="2"/>
      <c r="B520" s="2"/>
      <c r="C520" s="7" t="str">
        <f>"(D.)"&amp;G516</f>
        <v>(D.)操作未達 2 公斤之遙控無人機須通過學科測驗。</v>
      </c>
      <c r="D520" s="2"/>
      <c r="E520" s="2"/>
      <c r="F520" s="2"/>
      <c r="G520" s="2"/>
      <c r="H520" s="2"/>
      <c r="I520" s="2"/>
    </row>
    <row r="521" spans="1:9" s="3" customFormat="1" ht="30" x14ac:dyDescent="0.3">
      <c r="A521" s="2"/>
      <c r="B521" s="2"/>
      <c r="C521" s="7" t="str">
        <f>"答案是： "&amp;IF(H516="A",C517,IF(H516="B",C518,IF(H516="C",C519,IF(H516=("D"),C520,"XXXX"))))</f>
        <v>答案是： (B.)操作未達 2 公斤之遙控無人機不須考照。</v>
      </c>
      <c r="D521" s="2"/>
      <c r="E521" s="2"/>
      <c r="F521" s="2"/>
      <c r="G521" s="2"/>
      <c r="H521" s="2"/>
      <c r="I521" s="2"/>
    </row>
    <row r="522" spans="1:9" s="3" customFormat="1" ht="90" x14ac:dyDescent="0.3">
      <c r="A522" s="2"/>
      <c r="B522" s="2"/>
      <c r="C522" s="7" t="str">
        <f>"說明："&amp;I516</f>
        <v>說明：自然人（個人個人）休閒飛行管理採分級制：(1) 操作「未達2公斤」且為基本休閒無人機，法規完全豁免免考照；(2) 2公斤至未達15公斤須考取普通操作證（僅需學科）；(3) 15公斤以上須普通操作證（須學+術科）。故僅 (B) 正確。</v>
      </c>
      <c r="D522" s="2"/>
      <c r="E522" s="2"/>
      <c r="F522" s="2"/>
      <c r="G522" s="2"/>
      <c r="H522" s="2"/>
      <c r="I522" s="2"/>
    </row>
    <row r="523" spans="1:9" s="3" customFormat="1" ht="45" x14ac:dyDescent="0.3">
      <c r="A523" s="4" t="str">
        <f>dB題庫!A82</f>
        <v>81</v>
      </c>
      <c r="B523" s="4" t="str">
        <f>dB題庫!B82</f>
        <v>申請遙控無人機專業操作證者，其術科測驗應於學科測驗通過日起多久內完成，否則應重新申請學科測驗？</v>
      </c>
      <c r="C523" s="4" t="str">
        <f t="shared" si="2"/>
        <v>81.申請遙控無人機專業操作證者，其術科測驗應於學科測驗通過日起多久內完成，否則應重新申請學科測驗？</v>
      </c>
      <c r="D523" s="4" t="str">
        <f>dB題庫!C82</f>
        <v>3個月內。</v>
      </c>
      <c r="E523" s="4" t="str">
        <f>dB題庫!D82</f>
        <v>6個月內。</v>
      </c>
      <c r="F523" s="4" t="str">
        <f>dB題庫!E82</f>
        <v>9個月內。</v>
      </c>
      <c r="G523" s="4" t="str">
        <f>dB題庫!F82</f>
        <v>1年內。</v>
      </c>
      <c r="H523" s="4" t="str">
        <f>dB題庫!G82</f>
        <v>D</v>
      </c>
      <c r="I523" s="4" t="str">
        <f>dB題庫!H82</f>
        <v>為了確保考生在具備最新航空法規與學科知識的時效內完成實操考核，法規規定學科成績可保留「1年」。即術科測驗必須在學科通過日起「1年內」完成，逾期學科成績作廢。</v>
      </c>
    </row>
    <row r="524" spans="1:9" s="3" customFormat="1" x14ac:dyDescent="0.3">
      <c r="A524" s="2" t="s">
        <v>541</v>
      </c>
      <c r="B524" s="1"/>
      <c r="C524" s="7" t="str">
        <f>"(A.)"&amp;D523</f>
        <v>(A.)3個月內。</v>
      </c>
      <c r="D524" s="2"/>
      <c r="E524" s="2"/>
      <c r="F524" s="2"/>
      <c r="G524" s="2"/>
      <c r="H524" s="2"/>
      <c r="I524" s="2"/>
    </row>
    <row r="525" spans="1:9" s="3" customFormat="1" x14ac:dyDescent="0.3">
      <c r="A525" s="2"/>
      <c r="B525" s="1"/>
      <c r="C525" s="7" t="str">
        <f>"(B.)"&amp;E523</f>
        <v>(B.)6個月內。</v>
      </c>
      <c r="D525" s="2"/>
      <c r="E525" s="2"/>
      <c r="F525" s="2"/>
      <c r="G525" s="2"/>
      <c r="H525" s="2"/>
      <c r="I525" s="2"/>
    </row>
    <row r="526" spans="1:9" s="3" customFormat="1" x14ac:dyDescent="0.3">
      <c r="A526" s="2"/>
      <c r="B526" s="2"/>
      <c r="C526" s="7" t="str">
        <f>"(C.)"&amp;F523</f>
        <v>(C.)9個月內。</v>
      </c>
      <c r="D526" s="2"/>
      <c r="E526" s="2"/>
      <c r="F526" s="2"/>
      <c r="G526" s="2"/>
      <c r="H526" s="2"/>
      <c r="I526" s="2"/>
    </row>
    <row r="527" spans="1:9" s="3" customFormat="1" x14ac:dyDescent="0.3">
      <c r="A527" s="2"/>
      <c r="B527" s="2"/>
      <c r="C527" s="7" t="str">
        <f>"(D.)"&amp;G523</f>
        <v>(D.)1年內。</v>
      </c>
      <c r="D527" s="2"/>
      <c r="E527" s="2"/>
      <c r="F527" s="2"/>
      <c r="G527" s="2"/>
      <c r="H527" s="2"/>
      <c r="I527" s="2"/>
    </row>
    <row r="528" spans="1:9" s="3" customFormat="1" x14ac:dyDescent="0.3">
      <c r="A528" s="2"/>
      <c r="B528" s="2"/>
      <c r="C528" s="7" t="str">
        <f>"答案是： "&amp;IF(H523="A",C524,IF(H523="B",C525,IF(H523="C",C526,IF(H523=("D"),C527,"XXXX"))))</f>
        <v>答案是： (D.)1年內。</v>
      </c>
      <c r="D528" s="2"/>
      <c r="E528" s="2"/>
      <c r="F528" s="2"/>
      <c r="G528" s="2"/>
      <c r="H528" s="2"/>
      <c r="I528" s="2"/>
    </row>
    <row r="529" spans="1:9" s="3" customFormat="1" ht="60" x14ac:dyDescent="0.3">
      <c r="A529" s="2"/>
      <c r="B529" s="2"/>
      <c r="C529" s="7" t="str">
        <f>"說明："&amp;I523</f>
        <v>說明：為了確保考生在具備最新航空法規與學科知識的時效內完成實操考核，法規規定學科成績可保留「1年」。即術科測驗必須在學科通過日起「1年內」完成，逾期學科成績作廢。</v>
      </c>
      <c r="D529" s="2"/>
      <c r="E529" s="2"/>
      <c r="F529" s="2"/>
      <c r="G529" s="2"/>
      <c r="H529" s="2"/>
      <c r="I529" s="2"/>
    </row>
    <row r="530" spans="1:9" s="3" customFormat="1" ht="60" x14ac:dyDescent="0.3">
      <c r="A530" s="4" t="str">
        <f>dB題庫!A83</f>
        <v>82</v>
      </c>
      <c r="B530" s="4" t="str">
        <f>dB題庫!B83</f>
        <v>操作人從事遙控無人機活動，應於何時依製造者所提供之維修指引對遙控無人機系統進行檢查，以符合安全飛航條件後始得活動？</v>
      </c>
      <c r="C530" s="4" t="str">
        <f t="shared" si="2"/>
        <v>82.操作人從事遙控無人機活動，應於何時依製造者所提供之維修指引對遙控無人機系統進行檢查，以符合安全飛航條件後始得活動？</v>
      </c>
      <c r="D530" s="4" t="str">
        <f>dB題庫!C83</f>
        <v>應於飛航活動前執行。</v>
      </c>
      <c r="E530" s="4" t="str">
        <f>dB題庫!D83</f>
        <v>應於飛航活動後執行。</v>
      </c>
      <c r="F530" s="4" t="str">
        <f>dB題庫!E83</f>
        <v>應於飛航活動中執行。</v>
      </c>
      <c r="G530" s="4" t="str">
        <f>dB題庫!F83</f>
        <v>任何時間均可執行。</v>
      </c>
      <c r="H530" s="4" t="str">
        <f>dB題庫!G83</f>
        <v>A</v>
      </c>
      <c r="I530" s="4" t="str">
        <f>dB題庫!H83</f>
        <v>預防勝於治療。為防止無人機帶著潛在故障（如螺絲鬆動、槳葉裂痕、電池膨脹）起飛，安全性檢查「必須嚴格於飛航活動前」逐項執行完畢，確認完全符合飛安條件。</v>
      </c>
    </row>
    <row r="531" spans="1:9" s="3" customFormat="1" x14ac:dyDescent="0.3">
      <c r="A531" s="2" t="s">
        <v>541</v>
      </c>
      <c r="B531" s="1"/>
      <c r="C531" s="7" t="str">
        <f>"(A.)"&amp;D530</f>
        <v>(A.)應於飛航活動前執行。</v>
      </c>
      <c r="D531" s="2"/>
      <c r="E531" s="2"/>
      <c r="F531" s="2"/>
      <c r="G531" s="2"/>
      <c r="H531" s="2"/>
      <c r="I531" s="2"/>
    </row>
    <row r="532" spans="1:9" s="3" customFormat="1" x14ac:dyDescent="0.3">
      <c r="A532" s="2"/>
      <c r="B532" s="1"/>
      <c r="C532" s="7" t="str">
        <f>"(B.)"&amp;E530</f>
        <v>(B.)應於飛航活動後執行。</v>
      </c>
      <c r="D532" s="2"/>
      <c r="E532" s="2"/>
      <c r="F532" s="2"/>
      <c r="G532" s="2"/>
      <c r="H532" s="2"/>
      <c r="I532" s="2"/>
    </row>
    <row r="533" spans="1:9" s="3" customFormat="1" x14ac:dyDescent="0.3">
      <c r="A533" s="2"/>
      <c r="B533" s="2"/>
      <c r="C533" s="7" t="str">
        <f>"(C.)"&amp;F530</f>
        <v>(C.)應於飛航活動中執行。</v>
      </c>
      <c r="D533" s="2"/>
      <c r="E533" s="2"/>
      <c r="F533" s="2"/>
      <c r="G533" s="2"/>
      <c r="H533" s="2"/>
      <c r="I533" s="2"/>
    </row>
    <row r="534" spans="1:9" s="3" customFormat="1" x14ac:dyDescent="0.3">
      <c r="A534" s="2"/>
      <c r="B534" s="2"/>
      <c r="C534" s="7" t="str">
        <f>"(D.)"&amp;G530</f>
        <v>(D.)任何時間均可執行。</v>
      </c>
      <c r="D534" s="2"/>
      <c r="E534" s="2"/>
      <c r="F534" s="2"/>
      <c r="G534" s="2"/>
      <c r="H534" s="2"/>
      <c r="I534" s="2"/>
    </row>
    <row r="535" spans="1:9" s="3" customFormat="1" x14ac:dyDescent="0.3">
      <c r="A535" s="2"/>
      <c r="B535" s="2"/>
      <c r="C535" s="7" t="str">
        <f>"答案是： "&amp;IF(H530="A",C531,IF(H530="B",C532,IF(H530="C",C533,IF(H530=("D"),C534,"XXXX"))))</f>
        <v>答案是： (A.)應於飛航活動前執行。</v>
      </c>
      <c r="D535" s="2"/>
      <c r="E535" s="2"/>
      <c r="F535" s="2"/>
      <c r="G535" s="2"/>
      <c r="H535" s="2"/>
      <c r="I535" s="2"/>
    </row>
    <row r="536" spans="1:9" s="3" customFormat="1" ht="60" x14ac:dyDescent="0.3">
      <c r="A536" s="2"/>
      <c r="B536" s="2"/>
      <c r="C536" s="7" t="str">
        <f>"說明："&amp;I530</f>
        <v>說明：預防勝於治療。為防止無人機帶著潛在故障（如螺絲鬆動、槳葉裂痕、電池膨脹）起飛，安全性檢查「必須嚴格於飛航活動前」逐項執行完畢，確認完全符合飛安條件。</v>
      </c>
      <c r="D536" s="2"/>
      <c r="E536" s="2"/>
      <c r="F536" s="2"/>
      <c r="G536" s="2"/>
      <c r="H536" s="2"/>
      <c r="I536" s="2"/>
    </row>
    <row r="537" spans="1:9" s="3" customFormat="1" ht="45" x14ac:dyDescent="0.3">
      <c r="A537" s="4" t="str">
        <f>dB題庫!A84</f>
        <v>83</v>
      </c>
      <c r="B537" s="4" t="str">
        <f>dB題庫!B84</f>
        <v>操作人從事遙控無人機飛航活動前，下列何者非為主要考量因素？</v>
      </c>
      <c r="C537" s="4" t="str">
        <f t="shared" si="2"/>
        <v>83.操作人從事遙控無人機飛航活動前，下列何者非為主要考量因素？</v>
      </c>
      <c r="D537" s="4" t="str">
        <f>dB題庫!C84</f>
        <v>氣象條件。</v>
      </c>
      <c r="E537" s="4" t="str">
        <f>dB題庫!D84</f>
        <v>空域、飛航限制。</v>
      </c>
      <c r="F537" s="4" t="str">
        <f>dB題庫!E84</f>
        <v>其他空中或地面之危害因素。</v>
      </c>
      <c r="G537" s="4" t="str">
        <f>dB題庫!F84</f>
        <v>操作者家庭狀況。</v>
      </c>
      <c r="H537" s="4" t="str">
        <f>dB題庫!G84</f>
        <v>D</v>
      </c>
      <c r="I537" s="4" t="str">
        <f>dB題庫!H84</f>
        <v>飛行前的風險評估（Risk Assessment）必須包含：環境的風速下雨（氣象）、是否為紅黃綠區（空域限制）、地面人群與障礙物（地面危害）。「操作者的家庭狀況」顯然與當下飛行的物理與法律風險無關。</v>
      </c>
    </row>
    <row r="538" spans="1:9" s="3" customFormat="1" x14ac:dyDescent="0.3">
      <c r="A538" s="2" t="s">
        <v>541</v>
      </c>
      <c r="B538" s="1"/>
      <c r="C538" s="7" t="str">
        <f>"(A.)"&amp;D537</f>
        <v>(A.)氣象條件。</v>
      </c>
      <c r="D538" s="2"/>
      <c r="E538" s="2"/>
      <c r="F538" s="2"/>
      <c r="G538" s="2"/>
      <c r="H538" s="2"/>
      <c r="I538" s="2"/>
    </row>
    <row r="539" spans="1:9" s="3" customFormat="1" x14ac:dyDescent="0.3">
      <c r="A539" s="2"/>
      <c r="B539" s="1"/>
      <c r="C539" s="7" t="str">
        <f>"(B.)"&amp;E537</f>
        <v>(B.)空域、飛航限制。</v>
      </c>
      <c r="D539" s="2"/>
      <c r="E539" s="2"/>
      <c r="F539" s="2"/>
      <c r="G539" s="2"/>
      <c r="H539" s="2"/>
      <c r="I539" s="2"/>
    </row>
    <row r="540" spans="1:9" s="3" customFormat="1" x14ac:dyDescent="0.3">
      <c r="A540" s="2"/>
      <c r="B540" s="2"/>
      <c r="C540" s="7" t="str">
        <f>"(C.)"&amp;F537</f>
        <v>(C.)其他空中或地面之危害因素。</v>
      </c>
      <c r="D540" s="2"/>
      <c r="E540" s="2"/>
      <c r="F540" s="2"/>
      <c r="G540" s="2"/>
      <c r="H540" s="2"/>
      <c r="I540" s="2"/>
    </row>
    <row r="541" spans="1:9" s="3" customFormat="1" x14ac:dyDescent="0.3">
      <c r="A541" s="2"/>
      <c r="B541" s="2"/>
      <c r="C541" s="7" t="str">
        <f>"(D.)"&amp;G537</f>
        <v>(D.)操作者家庭狀況。</v>
      </c>
      <c r="D541" s="2"/>
      <c r="E541" s="2"/>
      <c r="F541" s="2"/>
      <c r="G541" s="2"/>
      <c r="H541" s="2"/>
      <c r="I541" s="2"/>
    </row>
    <row r="542" spans="1:9" s="3" customFormat="1" x14ac:dyDescent="0.3">
      <c r="A542" s="2"/>
      <c r="B542" s="2"/>
      <c r="C542" s="7" t="str">
        <f>"答案是： "&amp;IF(H537="A",C538,IF(H537="B",C539,IF(H537="C",C540,IF(H537=("D"),C541,"XXXX"))))</f>
        <v>答案是： (D.)操作者家庭狀況。</v>
      </c>
      <c r="D542" s="2"/>
      <c r="E542" s="2"/>
      <c r="F542" s="2"/>
      <c r="G542" s="2"/>
      <c r="H542" s="2"/>
      <c r="I542" s="2"/>
    </row>
    <row r="543" spans="1:9" s="3" customFormat="1" ht="75" x14ac:dyDescent="0.3">
      <c r="A543" s="2"/>
      <c r="B543" s="2"/>
      <c r="C543" s="7" t="str">
        <f>"說明："&amp;I537</f>
        <v>說明：飛行前的風險評估（Risk Assessment）必須包含：環境的風速下雨（氣象）、是否為紅黃綠區（空域限制）、地面人群與障礙物（地面危害）。「操作者的家庭狀況」顯然與當下飛行的物理與法律風險無關。</v>
      </c>
      <c r="D543" s="2"/>
      <c r="E543" s="2"/>
      <c r="F543" s="2"/>
      <c r="G543" s="2"/>
      <c r="H543" s="2"/>
      <c r="I543" s="2"/>
    </row>
    <row r="544" spans="1:9" s="3" customFormat="1" ht="60" x14ac:dyDescent="0.3">
      <c r="A544" s="4" t="str">
        <f>dB題庫!A85</f>
        <v>84</v>
      </c>
      <c r="B544" s="4" t="str">
        <f>dB題庫!B85</f>
        <v>有關操作人欲於載具上操作遙控無人機以進行飛航活動，下列敘述何者錯誤？</v>
      </c>
      <c r="C544" s="4" t="str">
        <f t="shared" si="2"/>
        <v>84.有關操作人欲於載具上操作遙控無人機以進行飛航活動，下列敘述何者錯誤？</v>
      </c>
      <c r="D544" s="4" t="str">
        <f>dB題庫!C85</f>
        <v>可於固定之導控站上操作。</v>
      </c>
      <c r="E544" s="4" t="str">
        <f>dB題庫!D85</f>
        <v>可於固定之車輛上操作。</v>
      </c>
      <c r="F544" s="4" t="str">
        <f>dB題庫!E85</f>
        <v>可於移動中之航空器上操作。</v>
      </c>
      <c r="G544" s="4" t="str">
        <f>dB題庫!F85</f>
        <v>可於固定之船艦上操作。</v>
      </c>
      <c r="H544" s="4" t="str">
        <f>dB題庫!G85</f>
        <v>C</v>
      </c>
      <c r="I544" s="4" t="str">
        <f>dB題庫!H85</f>
        <v>為了確保控制信號鏈路的穩定與操作人的視界，操作人可在固定的導控站、靜止或安全停泊的車輛及船艦上操作；但絕對「禁止於移動中的航空器（如飛機、直升機內部）」進行無人機操作，這會嚴重干擾有人機艙飛安且極難控制，故 (C) 錯誤。</v>
      </c>
    </row>
    <row r="545" spans="1:9" s="3" customFormat="1" x14ac:dyDescent="0.3">
      <c r="A545" s="2" t="s">
        <v>541</v>
      </c>
      <c r="B545" s="1"/>
      <c r="C545" s="7" t="str">
        <f>"(A.)"&amp;D544</f>
        <v>(A.)可於固定之導控站上操作。</v>
      </c>
      <c r="D545" s="2"/>
      <c r="E545" s="2"/>
      <c r="F545" s="2"/>
      <c r="G545" s="2"/>
      <c r="H545" s="2"/>
      <c r="I545" s="2"/>
    </row>
    <row r="546" spans="1:9" s="3" customFormat="1" x14ac:dyDescent="0.3">
      <c r="A546" s="2"/>
      <c r="B546" s="1"/>
      <c r="C546" s="7" t="str">
        <f>"(B.)"&amp;E544</f>
        <v>(B.)可於固定之車輛上操作。</v>
      </c>
      <c r="D546" s="2"/>
      <c r="E546" s="2"/>
      <c r="F546" s="2"/>
      <c r="G546" s="2"/>
      <c r="H546" s="2"/>
      <c r="I546" s="2"/>
    </row>
    <row r="547" spans="1:9" s="3" customFormat="1" x14ac:dyDescent="0.3">
      <c r="A547" s="2"/>
      <c r="B547" s="2"/>
      <c r="C547" s="7" t="str">
        <f>"(C.)"&amp;F544</f>
        <v>(C.)可於移動中之航空器上操作。</v>
      </c>
      <c r="D547" s="2"/>
      <c r="E547" s="2"/>
      <c r="F547" s="2"/>
      <c r="G547" s="2"/>
      <c r="H547" s="2"/>
      <c r="I547" s="2"/>
    </row>
    <row r="548" spans="1:9" s="3" customFormat="1" x14ac:dyDescent="0.3">
      <c r="A548" s="2"/>
      <c r="B548" s="2"/>
      <c r="C548" s="7" t="str">
        <f>"(D.)"&amp;G544</f>
        <v>(D.)可於固定之船艦上操作。</v>
      </c>
      <c r="D548" s="2"/>
      <c r="E548" s="2"/>
      <c r="F548" s="2"/>
      <c r="G548" s="2"/>
      <c r="H548" s="2"/>
      <c r="I548" s="2"/>
    </row>
    <row r="549" spans="1:9" s="3" customFormat="1" x14ac:dyDescent="0.3">
      <c r="A549" s="2"/>
      <c r="B549" s="2"/>
      <c r="C549" s="7" t="str">
        <f>"答案是： "&amp;IF(H544="A",C545,IF(H544="B",C546,IF(H544="C",C547,IF(H544=("D"),C548,"XXXX"))))</f>
        <v>答案是： (C.)可於移動中之航空器上操作。</v>
      </c>
      <c r="D549" s="2"/>
      <c r="E549" s="2"/>
      <c r="F549" s="2"/>
      <c r="G549" s="2"/>
      <c r="H549" s="2"/>
      <c r="I549" s="2"/>
    </row>
    <row r="550" spans="1:9" s="3" customFormat="1" ht="90" x14ac:dyDescent="0.3">
      <c r="A550" s="2"/>
      <c r="B550" s="2"/>
      <c r="C550" s="7" t="str">
        <f>"說明："&amp;I544</f>
        <v>說明：為了確保控制信號鏈路的穩定與操作人的視界，操作人可在固定的導控站、靜止或安全停泊的車輛及船艦上操作；但絕對「禁止於移動中的航空器（如飛機、直升機內部）」進行無人機操作，這會嚴重干擾有人機艙飛安且極難控制，故 (C) 錯誤。</v>
      </c>
      <c r="D550" s="2"/>
      <c r="E550" s="2"/>
      <c r="F550" s="2"/>
      <c r="G550" s="2"/>
      <c r="H550" s="2"/>
      <c r="I550" s="2"/>
    </row>
    <row r="551" spans="1:9" s="3" customFormat="1" ht="45" x14ac:dyDescent="0.3">
      <c r="A551" s="4" t="str">
        <f>dB題庫!A86</f>
        <v>85</v>
      </c>
      <c r="B551" s="4" t="str">
        <f>dB題庫!B86</f>
        <v>哪些單位應檢附文件向民航局申請核准後，始得從事遙控無人機飛航活動？</v>
      </c>
      <c r="C551" s="4" t="str">
        <f t="shared" si="2"/>
        <v>85.哪些單位應檢附文件向民航局申請核准後，始得從事遙控無人機飛航活動？</v>
      </c>
      <c r="D551" s="4" t="str">
        <f>dB題庫!C86</f>
        <v>政府機關（構）。</v>
      </c>
      <c r="E551" s="4" t="str">
        <f>dB題庫!D86</f>
        <v>學校。</v>
      </c>
      <c r="F551" s="4" t="str">
        <f>dB題庫!E86</f>
        <v>法人。</v>
      </c>
      <c r="G551" s="4" t="str">
        <f>dB題庫!F86</f>
        <v>以上皆是。</v>
      </c>
      <c r="H551" s="4" t="str">
        <f>dB題庫!G86</f>
        <v>D</v>
      </c>
      <c r="I551" s="4" t="str">
        <f>dB題庫!H86</f>
        <v>依據遙控無人機管理規則，所有的非自然人主體——包含「政府機關」、「各級學校」以及「各式法人、人民團體、公司」，在從事任何無人機飛行活動前，皆必須於系統上登載並向民航局申請法人能力審查與活動核准。</v>
      </c>
    </row>
    <row r="552" spans="1:9" s="3" customFormat="1" x14ac:dyDescent="0.3">
      <c r="A552" s="2" t="s">
        <v>541</v>
      </c>
      <c r="B552" s="1"/>
      <c r="C552" s="7" t="str">
        <f>"(A.)"&amp;D551</f>
        <v>(A.)政府機關（構）。</v>
      </c>
      <c r="D552" s="2"/>
      <c r="E552" s="2"/>
      <c r="F552" s="2"/>
      <c r="G552" s="2"/>
      <c r="H552" s="2"/>
      <c r="I552" s="2"/>
    </row>
    <row r="553" spans="1:9" s="3" customFormat="1" x14ac:dyDescent="0.3">
      <c r="A553" s="2"/>
      <c r="B553" s="1"/>
      <c r="C553" s="7" t="str">
        <f>"(B.)"&amp;E551</f>
        <v>(B.)學校。</v>
      </c>
      <c r="D553" s="2"/>
      <c r="E553" s="2"/>
      <c r="F553" s="2"/>
      <c r="G553" s="2"/>
      <c r="H553" s="2"/>
      <c r="I553" s="2"/>
    </row>
    <row r="554" spans="1:9" s="3" customFormat="1" x14ac:dyDescent="0.3">
      <c r="A554" s="2"/>
      <c r="B554" s="2"/>
      <c r="C554" s="7" t="str">
        <f>"(C.)"&amp;F551</f>
        <v>(C.)法人。</v>
      </c>
      <c r="D554" s="2"/>
      <c r="E554" s="2"/>
      <c r="F554" s="2"/>
      <c r="G554" s="2"/>
      <c r="H554" s="2"/>
      <c r="I554" s="2"/>
    </row>
    <row r="555" spans="1:9" s="3" customFormat="1" x14ac:dyDescent="0.3">
      <c r="A555" s="2"/>
      <c r="B555" s="2"/>
      <c r="C555" s="7" t="str">
        <f>"(D.)"&amp;G551</f>
        <v>(D.)以上皆是。</v>
      </c>
      <c r="D555" s="2"/>
      <c r="E555" s="2"/>
      <c r="F555" s="2"/>
      <c r="G555" s="2"/>
      <c r="H555" s="2"/>
      <c r="I555" s="2"/>
    </row>
    <row r="556" spans="1:9" s="3" customFormat="1" x14ac:dyDescent="0.3">
      <c r="A556" s="2"/>
      <c r="B556" s="2"/>
      <c r="C556" s="7" t="str">
        <f>"答案是： "&amp;IF(H551="A",C552,IF(H551="B",C553,IF(H551="C",C554,IF(H551=("D"),C555,"XXXX"))))</f>
        <v>答案是： (D.)以上皆是。</v>
      </c>
      <c r="D556" s="2"/>
      <c r="E556" s="2"/>
      <c r="F556" s="2"/>
      <c r="G556" s="2"/>
      <c r="H556" s="2"/>
      <c r="I556" s="2"/>
    </row>
    <row r="557" spans="1:9" s="3" customFormat="1" ht="90" x14ac:dyDescent="0.3">
      <c r="A557" s="2"/>
      <c r="B557" s="2"/>
      <c r="C557" s="7" t="str">
        <f>"說明："&amp;I551</f>
        <v>說明：依據遙控無人機管理規則，所有的非自然人主體——包含「政府機關」、「各級學校」以及「各式法人、人民團體、公司」，在從事任何無人機飛行活動前，皆必須於系統上登載並向民航局申請法人能力審查與活動核准。</v>
      </c>
      <c r="D557" s="2"/>
      <c r="E557" s="2"/>
      <c r="F557" s="2"/>
      <c r="G557" s="2"/>
      <c r="H557" s="2"/>
      <c r="I557" s="2"/>
    </row>
    <row r="558" spans="1:9" s="3" customFormat="1" ht="60" x14ac:dyDescent="0.3">
      <c r="A558" s="4" t="str">
        <f>dB題庫!A87</f>
        <v>86</v>
      </c>
      <c r="B558" s="4" t="str">
        <f>dB題庫!B87</f>
        <v>政府機關（構）、學校或法人欲於直轄市、縣（市）政府公告之禁止、限制區域內從事遙控無人機飛航活動者，應至少於活動日前多久檢附計畫書提出申請？</v>
      </c>
      <c r="C558" s="4" t="str">
        <f t="shared" si="2"/>
        <v>86.政府機關（構）、學校或法人欲於直轄市、縣（市）政府公告之禁止、限制區域內從事遙控無人機飛航活動者，應至少於活動日前多久檢附計畫書提出申請？</v>
      </c>
      <c r="D558" s="4" t="str">
        <f>dB題庫!C87</f>
        <v>30 日前。</v>
      </c>
      <c r="E558" s="4" t="str">
        <f>dB題庫!D87</f>
        <v>20 日前。</v>
      </c>
      <c r="F558" s="4" t="str">
        <f>dB題庫!E87</f>
        <v>15 日前。</v>
      </c>
      <c r="G558" s="4" t="str">
        <f>dB題庫!F87</f>
        <v>10 日前。</v>
      </c>
      <c r="H558" s="4" t="str">
        <f>dB題庫!G87</f>
        <v>C</v>
      </c>
      <c r="I558" s="4" t="str">
        <f>dB題庫!H87</f>
        <v>涉及侵入地方政府公告的紅區等管制空域，審查流程需要橫向會商部會，因此法人依法必須「至少於活動日前15日」檢附活動計畫書與安全維護規劃向民航局或地方政府網頁提出申請。</v>
      </c>
    </row>
    <row r="559" spans="1:9" s="3" customFormat="1" x14ac:dyDescent="0.3">
      <c r="A559" s="2" t="s">
        <v>541</v>
      </c>
      <c r="B559" s="1"/>
      <c r="C559" s="7" t="str">
        <f>"(A.)"&amp;D558</f>
        <v>(A.)30 日前。</v>
      </c>
      <c r="D559" s="2"/>
      <c r="E559" s="2"/>
      <c r="F559" s="2"/>
      <c r="G559" s="2"/>
      <c r="H559" s="2"/>
      <c r="I559" s="2"/>
    </row>
    <row r="560" spans="1:9" s="3" customFormat="1" x14ac:dyDescent="0.3">
      <c r="A560" s="2"/>
      <c r="B560" s="1"/>
      <c r="C560" s="7" t="str">
        <f>"(B.)"&amp;E558</f>
        <v>(B.)20 日前。</v>
      </c>
      <c r="D560" s="2"/>
      <c r="E560" s="2"/>
      <c r="F560" s="2"/>
      <c r="G560" s="2"/>
      <c r="H560" s="2"/>
      <c r="I560" s="2"/>
    </row>
    <row r="561" spans="1:9" s="3" customFormat="1" x14ac:dyDescent="0.3">
      <c r="A561" s="2"/>
      <c r="B561" s="2"/>
      <c r="C561" s="7" t="str">
        <f>"(C.)"&amp;F558</f>
        <v>(C.)15 日前。</v>
      </c>
      <c r="D561" s="2"/>
      <c r="E561" s="2"/>
      <c r="F561" s="2"/>
      <c r="G561" s="2"/>
      <c r="H561" s="2"/>
      <c r="I561" s="2"/>
    </row>
    <row r="562" spans="1:9" s="3" customFormat="1" x14ac:dyDescent="0.3">
      <c r="A562" s="2"/>
      <c r="B562" s="2"/>
      <c r="C562" s="7" t="str">
        <f>"(D.)"&amp;G558</f>
        <v>(D.)10 日前。</v>
      </c>
      <c r="D562" s="2"/>
      <c r="E562" s="2"/>
      <c r="F562" s="2"/>
      <c r="G562" s="2"/>
      <c r="H562" s="2"/>
      <c r="I562" s="2"/>
    </row>
    <row r="563" spans="1:9" s="3" customFormat="1" x14ac:dyDescent="0.3">
      <c r="A563" s="2"/>
      <c r="B563" s="2"/>
      <c r="C563" s="7" t="str">
        <f>"答案是： "&amp;IF(H558="A",C559,IF(H558="B",C560,IF(H558="C",C561,IF(H558=("D"),C562,"XXXX"))))</f>
        <v>答案是： (C.)15 日前。</v>
      </c>
      <c r="D563" s="2"/>
      <c r="E563" s="2"/>
      <c r="F563" s="2"/>
      <c r="G563" s="2"/>
      <c r="H563" s="2"/>
      <c r="I563" s="2"/>
    </row>
    <row r="564" spans="1:9" s="3" customFormat="1" ht="75" x14ac:dyDescent="0.3">
      <c r="A564" s="2"/>
      <c r="B564" s="2"/>
      <c r="C564" s="7" t="str">
        <f>"說明："&amp;I558</f>
        <v>說明：涉及侵入地方政府公告的紅區等管制空域，審查流程需要橫向會商部會，因此法人依法必須「至少於活動日前15日」檢附活動計畫書與安全維護規劃向民航局或地方政府網頁提出申請。</v>
      </c>
      <c r="D564" s="2"/>
      <c r="E564" s="2"/>
      <c r="F564" s="2"/>
      <c r="G564" s="2"/>
      <c r="H564" s="2"/>
      <c r="I564" s="2"/>
    </row>
    <row r="565" spans="1:9" s="3" customFormat="1" ht="60" x14ac:dyDescent="0.3">
      <c r="A565" s="4" t="str">
        <f>dB題庫!A88</f>
        <v>87</v>
      </c>
      <c r="B565" s="4" t="str">
        <f>dB題庫!B88</f>
        <v>最大起飛重量 2 公斤以上且裝置導航設備之遙控無人機遭受實質損害或失蹤時，所有人或操作人應於發生或得知消息後多久內填具飛航安全相關事件報告表通報民航局？</v>
      </c>
      <c r="C565" s="4" t="str">
        <f t="shared" si="2"/>
        <v>87.最大起飛重量 2 公斤以上且裝置導航設備之遙控無人機遭受實質損害或失蹤時，所有人或操作人應於發生或得知消息後多久內填具飛航安全相關事件報告表通報民航局？</v>
      </c>
      <c r="D565" s="4" t="str">
        <f>dB題庫!C88</f>
        <v>6 小時內。</v>
      </c>
      <c r="E565" s="4" t="str">
        <f>dB題庫!D88</f>
        <v>12 小時內。</v>
      </c>
      <c r="F565" s="4" t="str">
        <f>dB題庫!E88</f>
        <v>24 小時內。</v>
      </c>
      <c r="G565" s="4" t="str">
        <f>dB題庫!F88</f>
        <v>48 小時內。</v>
      </c>
      <c r="H565" s="4" t="str">
        <f>dB題庫!G88</f>
        <v>C</v>
      </c>
      <c r="I565" s="4" t="str">
        <f>dB題庫!H88</f>
        <v>重量大於2公斤且有導航之機器發生「摔機實質受損」或「提控飛丟失蹤」時，為利民航局掌握潛在地面危害及飛安統計，所有人或操作人必須在事發或得知起「24小時內」強制進行電子化通報。</v>
      </c>
    </row>
    <row r="566" spans="1:9" s="3" customFormat="1" x14ac:dyDescent="0.3">
      <c r="A566" s="2" t="s">
        <v>541</v>
      </c>
      <c r="B566" s="1"/>
      <c r="C566" s="7" t="str">
        <f>"(A.)"&amp;D565</f>
        <v>(A.)6 小時內。</v>
      </c>
      <c r="D566" s="2"/>
      <c r="E566" s="2"/>
      <c r="F566" s="2"/>
      <c r="G566" s="2"/>
      <c r="H566" s="2"/>
      <c r="I566" s="2"/>
    </row>
    <row r="567" spans="1:9" s="3" customFormat="1" x14ac:dyDescent="0.3">
      <c r="A567" s="2"/>
      <c r="B567" s="1"/>
      <c r="C567" s="7" t="str">
        <f>"(B.)"&amp;E565</f>
        <v>(B.)12 小時內。</v>
      </c>
      <c r="D567" s="2"/>
      <c r="E567" s="2"/>
      <c r="F567" s="2"/>
      <c r="G567" s="2"/>
      <c r="H567" s="2"/>
      <c r="I567" s="2"/>
    </row>
    <row r="568" spans="1:9" s="3" customFormat="1" x14ac:dyDescent="0.3">
      <c r="A568" s="2"/>
      <c r="B568" s="2"/>
      <c r="C568" s="7" t="str">
        <f>"(C.)"&amp;F565</f>
        <v>(C.)24 小時內。</v>
      </c>
      <c r="D568" s="2"/>
      <c r="E568" s="2"/>
      <c r="F568" s="2"/>
      <c r="G568" s="2"/>
      <c r="H568" s="2"/>
      <c r="I568" s="2"/>
    </row>
    <row r="569" spans="1:9" s="3" customFormat="1" x14ac:dyDescent="0.3">
      <c r="A569" s="2"/>
      <c r="B569" s="2"/>
      <c r="C569" s="7" t="str">
        <f>"(D.)"&amp;G565</f>
        <v>(D.)48 小時內。</v>
      </c>
      <c r="D569" s="2"/>
      <c r="E569" s="2"/>
      <c r="F569" s="2"/>
      <c r="G569" s="2"/>
      <c r="H569" s="2"/>
      <c r="I569" s="2"/>
    </row>
    <row r="570" spans="1:9" s="3" customFormat="1" x14ac:dyDescent="0.3">
      <c r="A570" s="2"/>
      <c r="B570" s="2"/>
      <c r="C570" s="7" t="str">
        <f>"答案是： "&amp;IF(H565="A",C566,IF(H565="B",C567,IF(H565="C",C568,IF(H565=("D"),C569,"XXXX"))))</f>
        <v>答案是： (C.)24 小時內。</v>
      </c>
      <c r="D570" s="2"/>
      <c r="E570" s="2"/>
      <c r="F570" s="2"/>
      <c r="G570" s="2"/>
      <c r="H570" s="2"/>
      <c r="I570" s="2"/>
    </row>
    <row r="571" spans="1:9" s="3" customFormat="1" ht="75" x14ac:dyDescent="0.3">
      <c r="A571" s="2"/>
      <c r="B571" s="2"/>
      <c r="C571" s="7" t="str">
        <f>"說明："&amp;I565</f>
        <v>說明：重量大於2公斤且有導航之機器發生「摔機實質受損」或「提控飛丟失蹤」時，為利民航局掌握潛在地面危害及飛安統計，所有人或操作人必須在事發或得知起「24小時內」強制進行電子化通報。</v>
      </c>
      <c r="D571" s="2"/>
      <c r="E571" s="2"/>
      <c r="F571" s="2"/>
      <c r="G571" s="2"/>
      <c r="H571" s="2"/>
      <c r="I571" s="2"/>
    </row>
    <row r="572" spans="1:9" s="3" customFormat="1" ht="60" x14ac:dyDescent="0.3">
      <c r="A572" s="4" t="str">
        <f>dB題庫!A89</f>
        <v>88</v>
      </c>
      <c r="B572" s="4" t="str">
        <f>dB題庫!B89</f>
        <v>當遙控無人機發生與其他航空器或障礙物接近或碰撞之事故時，所有人或操作人應於發生或得知消息後多久內填具飛航安全相關事件報告表通報民航局？</v>
      </c>
      <c r="C572" s="4" t="str">
        <f t="shared" si="2"/>
        <v>88.當遙控無人機發生與其他航空器或障礙物接近或碰撞之事故時，所有人或操作人應於發生或得知消息後多久內填具飛航安全相關事件報告表通報民航局？</v>
      </c>
      <c r="D572" s="4" t="str">
        <f>dB題庫!C89</f>
        <v>6 小時內。</v>
      </c>
      <c r="E572" s="4" t="str">
        <f>dB題庫!D89</f>
        <v>12 小時內。</v>
      </c>
      <c r="F572" s="4" t="str">
        <f>dB題庫!E89</f>
        <v>24 小時內。</v>
      </c>
      <c r="G572" s="4" t="str">
        <f>dB題庫!F89</f>
        <v>48 小時內。</v>
      </c>
      <c r="H572" s="4" t="str">
        <f>dB題庫!G89</f>
        <v>C</v>
      </c>
      <c r="I572" s="4" t="str">
        <f>dB題庫!H89</f>
        <v>無人機不論重量，只要發生「與其他有人機/無人機空中接近、碰撞」或是「撞擊高壓電塔、建築物」等實質飛安事故，法定时限一樣是於得知消息起「24小時內」填具報告通報民航局。</v>
      </c>
    </row>
    <row r="573" spans="1:9" s="3" customFormat="1" x14ac:dyDescent="0.3">
      <c r="A573" s="2" t="s">
        <v>541</v>
      </c>
      <c r="B573" s="1"/>
      <c r="C573" s="7" t="str">
        <f>"(A.)"&amp;D572</f>
        <v>(A.)6 小時內。</v>
      </c>
      <c r="D573" s="2"/>
      <c r="E573" s="2"/>
      <c r="F573" s="2"/>
      <c r="G573" s="2"/>
      <c r="H573" s="2"/>
      <c r="I573" s="2"/>
    </row>
    <row r="574" spans="1:9" s="3" customFormat="1" x14ac:dyDescent="0.3">
      <c r="A574" s="2"/>
      <c r="B574" s="1"/>
      <c r="C574" s="7" t="str">
        <f>"(B.)"&amp;E572</f>
        <v>(B.)12 小時內。</v>
      </c>
      <c r="D574" s="2"/>
      <c r="E574" s="2"/>
      <c r="F574" s="2"/>
      <c r="G574" s="2"/>
      <c r="H574" s="2"/>
      <c r="I574" s="2"/>
    </row>
    <row r="575" spans="1:9" s="3" customFormat="1" x14ac:dyDescent="0.3">
      <c r="A575" s="2"/>
      <c r="B575" s="2"/>
      <c r="C575" s="7" t="str">
        <f>"(C.)"&amp;F572</f>
        <v>(C.)24 小時內。</v>
      </c>
      <c r="D575" s="2"/>
      <c r="E575" s="2"/>
      <c r="F575" s="2"/>
      <c r="G575" s="2"/>
      <c r="H575" s="2"/>
      <c r="I575" s="2"/>
    </row>
    <row r="576" spans="1:9" s="3" customFormat="1" x14ac:dyDescent="0.3">
      <c r="A576" s="2"/>
      <c r="B576" s="2"/>
      <c r="C576" s="7" t="str">
        <f>"(D.)"&amp;G572</f>
        <v>(D.)48 小時內。</v>
      </c>
      <c r="D576" s="2"/>
      <c r="E576" s="2"/>
      <c r="F576" s="2"/>
      <c r="G576" s="2"/>
      <c r="H576" s="2"/>
      <c r="I576" s="2"/>
    </row>
    <row r="577" spans="1:9" s="3" customFormat="1" x14ac:dyDescent="0.3">
      <c r="A577" s="2"/>
      <c r="B577" s="2"/>
      <c r="C577" s="7" t="str">
        <f>"答案是： "&amp;IF(H572="A",C573,IF(H572="B",C574,IF(H572="C",C575,IF(H572=("D"),C576,"XXXX"))))</f>
        <v>答案是： (C.)24 小時內。</v>
      </c>
      <c r="D577" s="2"/>
      <c r="E577" s="2"/>
      <c r="F577" s="2"/>
      <c r="G577" s="2"/>
      <c r="H577" s="2"/>
      <c r="I577" s="2"/>
    </row>
    <row r="578" spans="1:9" s="3" customFormat="1" ht="75" x14ac:dyDescent="0.3">
      <c r="A578" s="2"/>
      <c r="B578" s="2"/>
      <c r="C578" s="7" t="str">
        <f>"說明："&amp;I572</f>
        <v>說明：無人機不論重量，只要發生「與其他有人機/無人機空中接近、碰撞」或是「撞擊高壓電塔、建築物」等實質飛安事故，法定时限一樣是於得知消息起「24小時內」填具報告通報民航局。</v>
      </c>
      <c r="D578" s="2"/>
      <c r="E578" s="2"/>
      <c r="F578" s="2"/>
      <c r="G578" s="2"/>
      <c r="H578" s="2"/>
      <c r="I578" s="2"/>
    </row>
    <row r="579" spans="1:9" s="3" customFormat="1" ht="90" x14ac:dyDescent="0.3">
      <c r="A579" s="4" t="str">
        <f>dB題庫!A90</f>
        <v>89</v>
      </c>
      <c r="B579" s="4" t="str">
        <f>dB題庫!B90</f>
        <v>當發生遙控無人機飛航安全相關事件時，民航局針對操作人可採取哪項措施？</v>
      </c>
      <c r="C579" s="4" t="str">
        <f t="shared" si="2"/>
        <v>89.當發生遙控無人機飛航安全相關事件時，民航局針對操作人可採取哪項措施？</v>
      </c>
      <c r="D579" s="4" t="str">
        <f>dB題庫!C90</f>
        <v>得逕為暫停其操作或飛航活動。</v>
      </c>
      <c r="E579" s="4" t="str">
        <f>dB題庫!D90</f>
        <v>經操作人同意後，得暫停其操作或飛航活動。</v>
      </c>
      <c r="F579" s="4" t="str">
        <f>dB題庫!E90</f>
        <v>經所在地方政府同意後，得暫停其操作或飛航活動。</v>
      </c>
      <c r="G579" s="4" t="str">
        <f>dB題庫!F90</f>
        <v>需待調查結束後並經操作人同意，使得暫停其操作或飛航活動。</v>
      </c>
      <c r="H579" s="4" t="str">
        <f>dB題庫!G90</f>
        <v>A</v>
      </c>
      <c r="I579" s="4" t="str">
        <f>dB題庫!H90</f>
        <v>安全具有最高優先權。一旦發生重大異常或事故，為了防止該操作人帶著不確定風險再度違規飛行，民航局基於行政公權力，「得逕為（主動直接）暫停其操作或飛航活動」接受調查，不需經操作人或地方政府同意。</v>
      </c>
    </row>
    <row r="580" spans="1:9" s="3" customFormat="1" x14ac:dyDescent="0.3">
      <c r="A580" s="2" t="s">
        <v>541</v>
      </c>
      <c r="B580" s="1"/>
      <c r="C580" s="7" t="str">
        <f>"(A.)"&amp;D579</f>
        <v>(A.)得逕為暫停其操作或飛航活動。</v>
      </c>
      <c r="D580" s="2"/>
      <c r="E580" s="2"/>
      <c r="F580" s="2"/>
      <c r="G580" s="2"/>
      <c r="H580" s="2"/>
      <c r="I580" s="2"/>
    </row>
    <row r="581" spans="1:9" s="3" customFormat="1" ht="30" x14ac:dyDescent="0.3">
      <c r="A581" s="2"/>
      <c r="B581" s="1"/>
      <c r="C581" s="7" t="str">
        <f>"(B.)"&amp;E579</f>
        <v>(B.)經操作人同意後，得暫停其操作或飛航活動。</v>
      </c>
      <c r="D581" s="2"/>
      <c r="E581" s="2"/>
      <c r="F581" s="2"/>
      <c r="G581" s="2"/>
      <c r="H581" s="2"/>
      <c r="I581" s="2"/>
    </row>
    <row r="582" spans="1:9" s="3" customFormat="1" ht="30" x14ac:dyDescent="0.3">
      <c r="A582" s="2"/>
      <c r="B582" s="2"/>
      <c r="C582" s="7" t="str">
        <f>"(C.)"&amp;F579</f>
        <v>(C.)經所在地方政府同意後，得暫停其操作或飛航活動。</v>
      </c>
      <c r="D582" s="2"/>
      <c r="E582" s="2"/>
      <c r="F582" s="2"/>
      <c r="G582" s="2"/>
      <c r="H582" s="2"/>
      <c r="I582" s="2"/>
    </row>
    <row r="583" spans="1:9" s="3" customFormat="1" ht="30" x14ac:dyDescent="0.3">
      <c r="A583" s="2"/>
      <c r="B583" s="2"/>
      <c r="C583" s="7" t="str">
        <f>"(D.)"&amp;G579</f>
        <v>(D.)需待調查結束後並經操作人同意，使得暫停其操作或飛航活動。</v>
      </c>
      <c r="D583" s="2"/>
      <c r="E583" s="2"/>
      <c r="F583" s="2"/>
      <c r="G583" s="2"/>
      <c r="H583" s="2"/>
      <c r="I583" s="2"/>
    </row>
    <row r="584" spans="1:9" s="3" customFormat="1" x14ac:dyDescent="0.3">
      <c r="A584" s="2"/>
      <c r="B584" s="2"/>
      <c r="C584" s="7" t="str">
        <f>"答案是： "&amp;IF(H579="A",C580,IF(H579="B",C581,IF(H579="C",C582,IF(H579=("D"),C583,"XXXX"))))</f>
        <v>答案是： (A.)得逕為暫停其操作或飛航活動。</v>
      </c>
      <c r="D584" s="2"/>
      <c r="E584" s="2"/>
      <c r="F584" s="2"/>
      <c r="G584" s="2"/>
      <c r="H584" s="2"/>
      <c r="I584" s="2"/>
    </row>
    <row r="585" spans="1:9" s="3" customFormat="1" ht="75" x14ac:dyDescent="0.3">
      <c r="A585" s="2"/>
      <c r="B585" s="2"/>
      <c r="C585" s="7" t="str">
        <f>"說明："&amp;I579</f>
        <v>說明：安全具有最高優先權。一旦發生重大異常或事故，為了防止該操作人帶著不確定風險再度違規飛行，民航局基於行政公權力，「得逕為（主動直接）暫停其操作或飛航活動」接受調查，不需經操作人或地方政府同意。</v>
      </c>
      <c r="D585" s="2"/>
      <c r="E585" s="2"/>
      <c r="F585" s="2"/>
      <c r="G585" s="2"/>
      <c r="H585" s="2"/>
      <c r="I585" s="2"/>
    </row>
    <row r="586" spans="1:9" s="3" customFormat="1" ht="45" x14ac:dyDescent="0.3">
      <c r="A586" s="4" t="str">
        <f>dB題庫!A91</f>
        <v>90</v>
      </c>
      <c r="B586" s="4" t="str">
        <f>dB題庫!B91</f>
        <v>根據「遙控無人機管理規則」內容，各項申請及通報作業可透過何處以電子化方式為之？</v>
      </c>
      <c r="C586" s="4" t="str">
        <f t="shared" si="2"/>
        <v>90.根據「遙控無人機管理規則」內容，各項申請及通報作業可透過何處以電子化方式為之？</v>
      </c>
      <c r="D586" s="4" t="str">
        <f>dB題庫!C91</f>
        <v>地方政府所建置之資訊系統。</v>
      </c>
      <c r="E586" s="4" t="str">
        <f>dB題庫!D91</f>
        <v>民航局所指定之資訊系統。</v>
      </c>
      <c r="F586" s="4" t="str">
        <f>dB題庫!E91</f>
        <v>財政部所建置資訊系統。</v>
      </c>
      <c r="G586" s="4" t="str">
        <f>dB題庫!F91</f>
        <v>經濟部所建置資訊系統。</v>
      </c>
      <c r="H586" s="4" t="str">
        <f>dB題庫!G91</f>
        <v>B</v>
      </c>
      <c r="I586" s="4" t="str">
        <f>dB題庫!H91</f>
        <v>為了便民並達到全國一體化管理，民航局建置了「遙控無人機管理資訊系統」。所有的註冊、考照、法人活動申請、事故通報，皆是透過此一「民航局所指定之資訊系統」進行電子化作業。</v>
      </c>
    </row>
    <row r="587" spans="1:9" s="3" customFormat="1" x14ac:dyDescent="0.3">
      <c r="A587" s="2" t="s">
        <v>541</v>
      </c>
      <c r="B587" s="1"/>
      <c r="C587" s="7" t="str">
        <f>"(A.)"&amp;D586</f>
        <v>(A.)地方政府所建置之資訊系統。</v>
      </c>
      <c r="D587" s="2"/>
      <c r="E587" s="2"/>
      <c r="F587" s="2"/>
      <c r="G587" s="2"/>
      <c r="H587" s="2"/>
      <c r="I587" s="2"/>
    </row>
    <row r="588" spans="1:9" s="3" customFormat="1" x14ac:dyDescent="0.3">
      <c r="A588" s="2"/>
      <c r="B588" s="1"/>
      <c r="C588" s="7" t="str">
        <f>"(B.)"&amp;E586</f>
        <v>(B.)民航局所指定之資訊系統。</v>
      </c>
      <c r="D588" s="2"/>
      <c r="E588" s="2"/>
      <c r="F588" s="2"/>
      <c r="G588" s="2"/>
      <c r="H588" s="2"/>
      <c r="I588" s="2"/>
    </row>
    <row r="589" spans="1:9" s="3" customFormat="1" x14ac:dyDescent="0.3">
      <c r="A589" s="2"/>
      <c r="B589" s="2"/>
      <c r="C589" s="7" t="str">
        <f>"(C.)"&amp;F586</f>
        <v>(C.)財政部所建置資訊系統。</v>
      </c>
      <c r="D589" s="2"/>
      <c r="E589" s="2"/>
      <c r="F589" s="2"/>
      <c r="G589" s="2"/>
      <c r="H589" s="2"/>
      <c r="I589" s="2"/>
    </row>
    <row r="590" spans="1:9" s="3" customFormat="1" x14ac:dyDescent="0.3">
      <c r="A590" s="2"/>
      <c r="B590" s="2"/>
      <c r="C590" s="7" t="str">
        <f>"(D.)"&amp;G586</f>
        <v>(D.)經濟部所建置資訊系統。</v>
      </c>
      <c r="D590" s="2"/>
      <c r="E590" s="2"/>
      <c r="F590" s="2"/>
      <c r="G590" s="2"/>
      <c r="H590" s="2"/>
      <c r="I590" s="2"/>
    </row>
    <row r="591" spans="1:9" s="3" customFormat="1" x14ac:dyDescent="0.3">
      <c r="A591" s="2"/>
      <c r="B591" s="2"/>
      <c r="C591" s="7" t="str">
        <f>"答案是： "&amp;IF(H586="A",C587,IF(H586="B",C588,IF(H586="C",C589,IF(H586=("D"),C590,"XXXX"))))</f>
        <v>答案是： (B.)民航局所指定之資訊系統。</v>
      </c>
      <c r="D591" s="2"/>
      <c r="E591" s="2"/>
      <c r="F591" s="2"/>
      <c r="G591" s="2"/>
      <c r="H591" s="2"/>
      <c r="I591" s="2"/>
    </row>
    <row r="592" spans="1:9" s="3" customFormat="1" ht="75" x14ac:dyDescent="0.3">
      <c r="A592" s="2"/>
      <c r="B592" s="2"/>
      <c r="C592" s="7" t="str">
        <f>"說明："&amp;I586</f>
        <v>說明：為了便民並達到全國一體化管理，民航局建置了「遙控無人機管理資訊系統」。所有的註冊、考照、法人活動申請、事故通報，皆是透過此一「民航局所指定之資訊系統」進行電子化作業。</v>
      </c>
      <c r="D592" s="2"/>
      <c r="E592" s="2"/>
      <c r="F592" s="2"/>
      <c r="G592" s="2"/>
      <c r="H592" s="2"/>
      <c r="I592" s="2"/>
    </row>
    <row r="593" spans="1:9" s="3" customFormat="1" ht="135" x14ac:dyDescent="0.3">
      <c r="A593" s="4" t="str">
        <f>dB題庫!A92</f>
        <v>91</v>
      </c>
      <c r="B593" s="4" t="str">
        <f>dB題庫!B92</f>
        <v>有關操作人從事遙控無人機飛航活動時應注意之距離限制，下列何者為正確？</v>
      </c>
      <c r="C593" s="4" t="str">
        <f t="shared" si="2"/>
        <v>91.有關操作人從事遙控無人機飛航活動時應注意之距離限制，下列何者為正確？</v>
      </c>
      <c r="D593" s="4" t="str">
        <f>dB題庫!C92</f>
        <v>應至少距高速公路範圍 10 公尺以上。</v>
      </c>
      <c r="E593" s="4" t="str">
        <f>dB題庫!D92</f>
        <v>應至少距高架鐵路範圍 20 公尺以上。</v>
      </c>
      <c r="F593" s="4" t="str">
        <f>dB題庫!E92</f>
        <v>應至少距建築物及障礙物範圍 30 公尺以上。</v>
      </c>
      <c r="G593" s="4" t="str">
        <f>dB題庫!F92</f>
        <v>以上均正確。</v>
      </c>
      <c r="H593" s="4" t="str">
        <f>dB題庫!G92</f>
        <v>C</v>
      </c>
      <c r="I593" s="4" t="str">
        <f>dB題庫!H92</f>
        <v>為了避免無人機因突發氣流或操作失誤撞擊國家重大交通主幹及建築障礙物，法規設定了嚴格的水平安全距離界線：鐵路、高速公路、高鐵等干線旁飛行有特定禁止距離（部分甚至屬綠區邊界紅線外），而與盲區建築、高壓線障礙物等通常也應保持安全間距。
依據「遙控無人機管理規則」第28條，從事遙控無人機飛航活動時，務必遵守以下三大距離限制：周遭環境： 應遠離高速公路、快速道路、鐵路、捷運、建築物及障礙物 30公尺以上。飛行高度： 實際飛航高度不得超過距地面或水面 400呎 (約120公尺)。視距範圍： 須保持在操作人的 目視範圍內，不可使用望遠鏡等輔助工具延伸視距。</v>
      </c>
    </row>
    <row r="594" spans="1:9" s="3" customFormat="1" x14ac:dyDescent="0.3">
      <c r="A594" s="2" t="s">
        <v>541</v>
      </c>
      <c r="B594" s="1"/>
      <c r="C594" s="7" t="str">
        <f>"(A.)"&amp;D593</f>
        <v>(A.)應至少距高速公路範圍 10 公尺以上。</v>
      </c>
      <c r="D594" s="2"/>
      <c r="E594" s="2"/>
      <c r="F594" s="2"/>
      <c r="G594" s="2"/>
      <c r="H594" s="2"/>
      <c r="I594" s="2"/>
    </row>
    <row r="595" spans="1:9" s="3" customFormat="1" x14ac:dyDescent="0.3">
      <c r="A595" s="2"/>
      <c r="B595" s="1"/>
      <c r="C595" s="7" t="str">
        <f>"(B.)"&amp;E593</f>
        <v>(B.)應至少距高架鐵路範圍 20 公尺以上。</v>
      </c>
      <c r="D595" s="2"/>
      <c r="E595" s="2"/>
      <c r="F595" s="2"/>
      <c r="G595" s="2"/>
      <c r="H595" s="2"/>
      <c r="I595" s="2"/>
    </row>
    <row r="596" spans="1:9" s="3" customFormat="1" ht="30" x14ac:dyDescent="0.3">
      <c r="A596" s="2"/>
      <c r="B596" s="2"/>
      <c r="C596" s="7" t="str">
        <f>"(C.)"&amp;F593</f>
        <v>(C.)應至少距建築物及障礙物範圍 30 公尺以上。</v>
      </c>
      <c r="D596" s="2"/>
      <c r="E596" s="2"/>
      <c r="F596" s="2"/>
      <c r="G596" s="2"/>
      <c r="H596" s="2"/>
      <c r="I596" s="2"/>
    </row>
    <row r="597" spans="1:9" s="3" customFormat="1" x14ac:dyDescent="0.3">
      <c r="A597" s="2"/>
      <c r="B597" s="2"/>
      <c r="C597" s="7" t="str">
        <f>"(D.)"&amp;G593</f>
        <v>(D.)以上均正確。</v>
      </c>
      <c r="D597" s="2"/>
      <c r="E597" s="2"/>
      <c r="F597" s="2"/>
      <c r="G597" s="2"/>
      <c r="H597" s="2"/>
      <c r="I597" s="2"/>
    </row>
    <row r="598" spans="1:9" s="3" customFormat="1" ht="30" x14ac:dyDescent="0.3">
      <c r="A598" s="2"/>
      <c r="B598" s="2"/>
      <c r="C598" s="7" t="str">
        <f>"答案是： "&amp;IF(H593="A",C594,IF(H593="B",C595,IF(H593="C",C596,IF(H593=("D"),C597,"XXXX"))))</f>
        <v>答案是： (C.)應至少距建築物及障礙物範圍 30 公尺以上。</v>
      </c>
      <c r="D598" s="2"/>
      <c r="E598" s="2"/>
      <c r="F598" s="2"/>
      <c r="G598" s="2"/>
      <c r="H598" s="2"/>
      <c r="I598" s="2"/>
    </row>
    <row r="599" spans="1:9" s="3" customFormat="1" ht="210" x14ac:dyDescent="0.3">
      <c r="A599" s="2"/>
      <c r="B599" s="2"/>
      <c r="C599" s="7" t="str">
        <f>"說明："&amp;I593</f>
        <v>說明：為了避免無人機因突發氣流或操作失誤撞擊國家重大交通主幹及建築障礙物，法規設定了嚴格的水平安全距離界線：鐵路、高速公路、高鐵等干線旁飛行有特定禁止距離（部分甚至屬綠區邊界紅線外），而與盲區建築、高壓線障礙物等通常也應保持安全間距。
依據「遙控無人機管理規則」第28條，從事遙控無人機飛航活動時，務必遵守以下三大距離限制：周遭環境： 應遠離高速公路、快速道路、鐵路、捷運、建築物及障礙物 30公尺以上。飛行高度： 實際飛航高度不得超過距地面或水面 400呎 (約120公尺)。視距範圍： 須保持在操作人的 目視範圍內，不可使用望遠鏡等輔助工具延伸視距。</v>
      </c>
      <c r="D599" s="2"/>
      <c r="E599" s="2"/>
      <c r="F599" s="2"/>
      <c r="G599" s="2"/>
      <c r="H599" s="2"/>
      <c r="I599" s="2"/>
    </row>
    <row r="600" spans="1:9" s="3" customFormat="1" x14ac:dyDescent="0.3">
      <c r="A600" s="3" t="s">
        <v>542</v>
      </c>
      <c r="C600" s="3" t="s">
        <v>542</v>
      </c>
    </row>
  </sheetData>
  <phoneticPr fontId="1"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B9" sqref="B9"/>
    </sheetView>
  </sheetViews>
  <sheetFormatPr defaultRowHeight="15" x14ac:dyDescent="0.3"/>
  <sheetData>
    <row r="2" spans="2:2" x14ac:dyDescent="0.3">
      <c r="B2" t="s">
        <v>534</v>
      </c>
    </row>
    <row r="3" spans="2:2" x14ac:dyDescent="0.3">
      <c r="B3" t="s">
        <v>535</v>
      </c>
    </row>
    <row r="4" spans="2:2" x14ac:dyDescent="0.3">
      <c r="B4" t="s">
        <v>536</v>
      </c>
    </row>
    <row r="5" spans="2:2" x14ac:dyDescent="0.3">
      <c r="B5" t="s">
        <v>537</v>
      </c>
    </row>
    <row r="6" spans="2:2" x14ac:dyDescent="0.3">
      <c r="B6" t="s">
        <v>538</v>
      </c>
    </row>
    <row r="7" spans="2:2" x14ac:dyDescent="0.3">
      <c r="B7" t="s">
        <v>539</v>
      </c>
    </row>
    <row r="8" spans="2:2" x14ac:dyDescent="0.3">
      <c r="B8" t="s">
        <v>540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dB題庫</vt:lpstr>
      <vt:lpstr>【讀給你聽】</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2026-07-10T10:14:54Z</dcterms:created>
  <dcterms:modified xsi:type="dcterms:W3CDTF">2026-07-31T09:16:31Z</dcterms:modified>
</cp:coreProperties>
</file>