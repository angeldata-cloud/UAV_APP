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__【無人機】\考照\【APP】\"/>
    </mc:Choice>
  </mc:AlternateContent>
  <bookViews>
    <workbookView xWindow="0" yWindow="600" windowWidth="28800" windowHeight="17400" activeTab="1"/>
  </bookViews>
  <sheets>
    <sheet name="dB題庫" sheetId="1" r:id="rId1"/>
    <sheet name="【讀給你聽】" sheetId="2" r:id="rId2"/>
    <sheet name="Steps" sheetId="3" r:id="rId3"/>
  </sheets>
  <definedNames>
    <definedName name="_xlnm._FilterDatabase" localSheetId="0" hidden="1">dB題庫!$A$1:$H$92</definedName>
  </definedNames>
  <calcPr calcId="162913"/>
</workbook>
</file>

<file path=xl/calcChain.xml><?xml version="1.0" encoding="utf-8"?>
<calcChain xmlns="http://schemas.openxmlformats.org/spreadsheetml/2006/main">
  <c r="A40" i="2" l="1"/>
  <c r="B40" i="2"/>
  <c r="D40" i="2"/>
  <c r="C41" i="2" s="1"/>
  <c r="E40" i="2"/>
  <c r="C42" i="2" s="1"/>
  <c r="F40" i="2"/>
  <c r="C43" i="2" s="1"/>
  <c r="G40" i="2"/>
  <c r="C44" i="2" s="1"/>
  <c r="H40" i="2"/>
  <c r="I40" i="2"/>
  <c r="C46" i="2" s="1"/>
  <c r="A47" i="2"/>
  <c r="B47" i="2"/>
  <c r="D47" i="2"/>
  <c r="C48" i="2" s="1"/>
  <c r="E47" i="2"/>
  <c r="C49" i="2" s="1"/>
  <c r="F47" i="2"/>
  <c r="C50" i="2" s="1"/>
  <c r="G47" i="2"/>
  <c r="C51" i="2" s="1"/>
  <c r="H47" i="2"/>
  <c r="I47" i="2"/>
  <c r="C53" i="2" s="1"/>
  <c r="A54" i="2"/>
  <c r="B54" i="2"/>
  <c r="D54" i="2"/>
  <c r="C55" i="2" s="1"/>
  <c r="E54" i="2"/>
  <c r="C56" i="2" s="1"/>
  <c r="F54" i="2"/>
  <c r="C57" i="2" s="1"/>
  <c r="G54" i="2"/>
  <c r="C58" i="2" s="1"/>
  <c r="H54" i="2"/>
  <c r="I54" i="2"/>
  <c r="C60" i="2" s="1"/>
  <c r="A61" i="2"/>
  <c r="B61" i="2"/>
  <c r="D61" i="2"/>
  <c r="C62" i="2" s="1"/>
  <c r="E61" i="2"/>
  <c r="C63" i="2" s="1"/>
  <c r="F61" i="2"/>
  <c r="C64" i="2" s="1"/>
  <c r="G61" i="2"/>
  <c r="C65" i="2" s="1"/>
  <c r="H61" i="2"/>
  <c r="I61" i="2"/>
  <c r="C67" i="2" s="1"/>
  <c r="A68" i="2"/>
  <c r="B68" i="2"/>
  <c r="D68" i="2"/>
  <c r="C69" i="2" s="1"/>
  <c r="E68" i="2"/>
  <c r="C70" i="2" s="1"/>
  <c r="F68" i="2"/>
  <c r="C71" i="2" s="1"/>
  <c r="G68" i="2"/>
  <c r="C72" i="2" s="1"/>
  <c r="H68" i="2"/>
  <c r="I68" i="2"/>
  <c r="C74" i="2" s="1"/>
  <c r="A75" i="2"/>
  <c r="B75" i="2"/>
  <c r="D75" i="2"/>
  <c r="C76" i="2" s="1"/>
  <c r="E75" i="2"/>
  <c r="C77" i="2" s="1"/>
  <c r="F75" i="2"/>
  <c r="C78" i="2" s="1"/>
  <c r="G75" i="2"/>
  <c r="C79" i="2" s="1"/>
  <c r="H75" i="2"/>
  <c r="I75" i="2"/>
  <c r="C81" i="2" s="1"/>
  <c r="A82" i="2"/>
  <c r="B82" i="2"/>
  <c r="D82" i="2"/>
  <c r="C83" i="2" s="1"/>
  <c r="E82" i="2"/>
  <c r="C84" i="2" s="1"/>
  <c r="F82" i="2"/>
  <c r="C85" i="2" s="1"/>
  <c r="G82" i="2"/>
  <c r="C86" i="2" s="1"/>
  <c r="H82" i="2"/>
  <c r="I82" i="2"/>
  <c r="C88" i="2" s="1"/>
  <c r="A89" i="2"/>
  <c r="B89" i="2"/>
  <c r="D89" i="2"/>
  <c r="C90" i="2" s="1"/>
  <c r="E89" i="2"/>
  <c r="C91" i="2" s="1"/>
  <c r="F89" i="2"/>
  <c r="C92" i="2" s="1"/>
  <c r="G89" i="2"/>
  <c r="C93" i="2" s="1"/>
  <c r="H89" i="2"/>
  <c r="I89" i="2"/>
  <c r="C95" i="2" s="1"/>
  <c r="A96" i="2"/>
  <c r="B96" i="2"/>
  <c r="D96" i="2"/>
  <c r="C97" i="2" s="1"/>
  <c r="E96" i="2"/>
  <c r="C98" i="2" s="1"/>
  <c r="F96" i="2"/>
  <c r="C99" i="2" s="1"/>
  <c r="G96" i="2"/>
  <c r="C100" i="2" s="1"/>
  <c r="H96" i="2"/>
  <c r="I96" i="2"/>
  <c r="C102" i="2" s="1"/>
  <c r="A103" i="2"/>
  <c r="B103" i="2"/>
  <c r="D103" i="2"/>
  <c r="C104" i="2" s="1"/>
  <c r="E103" i="2"/>
  <c r="C105" i="2" s="1"/>
  <c r="F103" i="2"/>
  <c r="C106" i="2" s="1"/>
  <c r="G103" i="2"/>
  <c r="C107" i="2" s="1"/>
  <c r="H103" i="2"/>
  <c r="I103" i="2"/>
  <c r="C109" i="2" s="1"/>
  <c r="A110" i="2"/>
  <c r="B110" i="2"/>
  <c r="D110" i="2"/>
  <c r="C111" i="2" s="1"/>
  <c r="E110" i="2"/>
  <c r="C112" i="2" s="1"/>
  <c r="F110" i="2"/>
  <c r="C113" i="2" s="1"/>
  <c r="G110" i="2"/>
  <c r="C114" i="2" s="1"/>
  <c r="H110" i="2"/>
  <c r="I110" i="2"/>
  <c r="C116" i="2" s="1"/>
  <c r="A117" i="2"/>
  <c r="B117" i="2"/>
  <c r="D117" i="2"/>
  <c r="C118" i="2" s="1"/>
  <c r="E117" i="2"/>
  <c r="C119" i="2" s="1"/>
  <c r="F117" i="2"/>
  <c r="C120" i="2" s="1"/>
  <c r="G117" i="2"/>
  <c r="C121" i="2" s="1"/>
  <c r="H117" i="2"/>
  <c r="I117" i="2"/>
  <c r="C123" i="2" s="1"/>
  <c r="A124" i="2"/>
  <c r="B124" i="2"/>
  <c r="D124" i="2"/>
  <c r="C125" i="2" s="1"/>
  <c r="E124" i="2"/>
  <c r="C126" i="2" s="1"/>
  <c r="F124" i="2"/>
  <c r="C127" i="2" s="1"/>
  <c r="G124" i="2"/>
  <c r="C128" i="2" s="1"/>
  <c r="H124" i="2"/>
  <c r="I124" i="2"/>
  <c r="C130" i="2" s="1"/>
  <c r="A131" i="2"/>
  <c r="B131" i="2"/>
  <c r="D131" i="2"/>
  <c r="C132" i="2" s="1"/>
  <c r="E131" i="2"/>
  <c r="C133" i="2" s="1"/>
  <c r="F131" i="2"/>
  <c r="C134" i="2" s="1"/>
  <c r="G131" i="2"/>
  <c r="C135" i="2" s="1"/>
  <c r="H131" i="2"/>
  <c r="I131" i="2"/>
  <c r="C137" i="2" s="1"/>
  <c r="A138" i="2"/>
  <c r="B138" i="2"/>
  <c r="D138" i="2"/>
  <c r="C139" i="2" s="1"/>
  <c r="E138" i="2"/>
  <c r="C140" i="2" s="1"/>
  <c r="F138" i="2"/>
  <c r="C141" i="2" s="1"/>
  <c r="G138" i="2"/>
  <c r="C142" i="2" s="1"/>
  <c r="H138" i="2"/>
  <c r="I138" i="2"/>
  <c r="C144" i="2" s="1"/>
  <c r="A145" i="2"/>
  <c r="B145" i="2"/>
  <c r="D145" i="2"/>
  <c r="C146" i="2" s="1"/>
  <c r="E145" i="2"/>
  <c r="C147" i="2" s="1"/>
  <c r="F145" i="2"/>
  <c r="C148" i="2" s="1"/>
  <c r="G145" i="2"/>
  <c r="C149" i="2" s="1"/>
  <c r="H145" i="2"/>
  <c r="I145" i="2"/>
  <c r="C151" i="2" s="1"/>
  <c r="A152" i="2"/>
  <c r="B152" i="2"/>
  <c r="D152" i="2"/>
  <c r="C153" i="2" s="1"/>
  <c r="E152" i="2"/>
  <c r="C154" i="2" s="1"/>
  <c r="F152" i="2"/>
  <c r="C155" i="2" s="1"/>
  <c r="G152" i="2"/>
  <c r="C156" i="2" s="1"/>
  <c r="H152" i="2"/>
  <c r="I152" i="2"/>
  <c r="C158" i="2" s="1"/>
  <c r="A159" i="2"/>
  <c r="B159" i="2"/>
  <c r="D159" i="2"/>
  <c r="C160" i="2" s="1"/>
  <c r="E159" i="2"/>
  <c r="C161" i="2" s="1"/>
  <c r="F159" i="2"/>
  <c r="C162" i="2" s="1"/>
  <c r="G159" i="2"/>
  <c r="C163" i="2" s="1"/>
  <c r="H159" i="2"/>
  <c r="I159" i="2"/>
  <c r="C165" i="2" s="1"/>
  <c r="A166" i="2"/>
  <c r="B166" i="2"/>
  <c r="D166" i="2"/>
  <c r="C167" i="2" s="1"/>
  <c r="E166" i="2"/>
  <c r="C168" i="2" s="1"/>
  <c r="F166" i="2"/>
  <c r="C169" i="2" s="1"/>
  <c r="G166" i="2"/>
  <c r="C170" i="2" s="1"/>
  <c r="H166" i="2"/>
  <c r="I166" i="2"/>
  <c r="C172" i="2" s="1"/>
  <c r="A173" i="2"/>
  <c r="B173" i="2"/>
  <c r="D173" i="2"/>
  <c r="C174" i="2" s="1"/>
  <c r="E173" i="2"/>
  <c r="C175" i="2" s="1"/>
  <c r="F173" i="2"/>
  <c r="C176" i="2" s="1"/>
  <c r="G173" i="2"/>
  <c r="C177" i="2" s="1"/>
  <c r="H173" i="2"/>
  <c r="I173" i="2"/>
  <c r="C179" i="2" s="1"/>
  <c r="A180" i="2"/>
  <c r="B180" i="2"/>
  <c r="D180" i="2"/>
  <c r="C181" i="2" s="1"/>
  <c r="E180" i="2"/>
  <c r="C182" i="2" s="1"/>
  <c r="F180" i="2"/>
  <c r="C183" i="2" s="1"/>
  <c r="G180" i="2"/>
  <c r="C184" i="2" s="1"/>
  <c r="H180" i="2"/>
  <c r="I180" i="2"/>
  <c r="C186" i="2" s="1"/>
  <c r="A187" i="2"/>
  <c r="B187" i="2"/>
  <c r="D187" i="2"/>
  <c r="C188" i="2" s="1"/>
  <c r="E187" i="2"/>
  <c r="C189" i="2" s="1"/>
  <c r="F187" i="2"/>
  <c r="C190" i="2" s="1"/>
  <c r="G187" i="2"/>
  <c r="C191" i="2" s="1"/>
  <c r="H187" i="2"/>
  <c r="I187" i="2"/>
  <c r="C193" i="2" s="1"/>
  <c r="A194" i="2"/>
  <c r="B194" i="2"/>
  <c r="D194" i="2"/>
  <c r="C195" i="2" s="1"/>
  <c r="E194" i="2"/>
  <c r="C196" i="2" s="1"/>
  <c r="F194" i="2"/>
  <c r="C197" i="2" s="1"/>
  <c r="G194" i="2"/>
  <c r="C198" i="2" s="1"/>
  <c r="H194" i="2"/>
  <c r="I194" i="2"/>
  <c r="C200" i="2" s="1"/>
  <c r="A201" i="2"/>
  <c r="B201" i="2"/>
  <c r="D201" i="2"/>
  <c r="C202" i="2" s="1"/>
  <c r="E201" i="2"/>
  <c r="C203" i="2" s="1"/>
  <c r="F201" i="2"/>
  <c r="C204" i="2" s="1"/>
  <c r="G201" i="2"/>
  <c r="C205" i="2" s="1"/>
  <c r="H201" i="2"/>
  <c r="I201" i="2"/>
  <c r="C207" i="2" s="1"/>
  <c r="A208" i="2"/>
  <c r="B208" i="2"/>
  <c r="D208" i="2"/>
  <c r="C209" i="2" s="1"/>
  <c r="E208" i="2"/>
  <c r="C210" i="2" s="1"/>
  <c r="F208" i="2"/>
  <c r="C211" i="2" s="1"/>
  <c r="G208" i="2"/>
  <c r="C212" i="2" s="1"/>
  <c r="H208" i="2"/>
  <c r="I208" i="2"/>
  <c r="C214" i="2" s="1"/>
  <c r="A215" i="2"/>
  <c r="B215" i="2"/>
  <c r="D215" i="2"/>
  <c r="C216" i="2" s="1"/>
  <c r="E215" i="2"/>
  <c r="C217" i="2" s="1"/>
  <c r="F215" i="2"/>
  <c r="C218" i="2" s="1"/>
  <c r="G215" i="2"/>
  <c r="C219" i="2" s="1"/>
  <c r="H215" i="2"/>
  <c r="I215" i="2"/>
  <c r="C221" i="2" s="1"/>
  <c r="A222" i="2"/>
  <c r="B222" i="2"/>
  <c r="D222" i="2"/>
  <c r="C223" i="2" s="1"/>
  <c r="E222" i="2"/>
  <c r="C224" i="2" s="1"/>
  <c r="F222" i="2"/>
  <c r="C225" i="2" s="1"/>
  <c r="G222" i="2"/>
  <c r="C226" i="2" s="1"/>
  <c r="H222" i="2"/>
  <c r="I222" i="2"/>
  <c r="C228" i="2" s="1"/>
  <c r="A229" i="2"/>
  <c r="B229" i="2"/>
  <c r="D229" i="2"/>
  <c r="C230" i="2" s="1"/>
  <c r="E229" i="2"/>
  <c r="C231" i="2" s="1"/>
  <c r="F229" i="2"/>
  <c r="C232" i="2" s="1"/>
  <c r="G229" i="2"/>
  <c r="C233" i="2" s="1"/>
  <c r="H229" i="2"/>
  <c r="I229" i="2"/>
  <c r="C235" i="2" s="1"/>
  <c r="A236" i="2"/>
  <c r="B236" i="2"/>
  <c r="D236" i="2"/>
  <c r="C237" i="2" s="1"/>
  <c r="E236" i="2"/>
  <c r="C238" i="2" s="1"/>
  <c r="F236" i="2"/>
  <c r="C239" i="2" s="1"/>
  <c r="G236" i="2"/>
  <c r="C240" i="2" s="1"/>
  <c r="H236" i="2"/>
  <c r="I236" i="2"/>
  <c r="C242" i="2" s="1"/>
  <c r="A243" i="2"/>
  <c r="B243" i="2"/>
  <c r="D243" i="2"/>
  <c r="C244" i="2" s="1"/>
  <c r="E243" i="2"/>
  <c r="C245" i="2" s="1"/>
  <c r="F243" i="2"/>
  <c r="C246" i="2" s="1"/>
  <c r="G243" i="2"/>
  <c r="C247" i="2" s="1"/>
  <c r="H243" i="2"/>
  <c r="I243" i="2"/>
  <c r="C249" i="2" s="1"/>
  <c r="A250" i="2"/>
  <c r="B250" i="2"/>
  <c r="D250" i="2"/>
  <c r="C251" i="2" s="1"/>
  <c r="E250" i="2"/>
  <c r="C252" i="2" s="1"/>
  <c r="F250" i="2"/>
  <c r="C253" i="2" s="1"/>
  <c r="G250" i="2"/>
  <c r="C254" i="2" s="1"/>
  <c r="H250" i="2"/>
  <c r="I250" i="2"/>
  <c r="C256" i="2" s="1"/>
  <c r="A257" i="2"/>
  <c r="B257" i="2"/>
  <c r="D257" i="2"/>
  <c r="C258" i="2" s="1"/>
  <c r="E257" i="2"/>
  <c r="C259" i="2" s="1"/>
  <c r="F257" i="2"/>
  <c r="C260" i="2" s="1"/>
  <c r="G257" i="2"/>
  <c r="C261" i="2" s="1"/>
  <c r="H257" i="2"/>
  <c r="I257" i="2"/>
  <c r="C263" i="2" s="1"/>
  <c r="A19" i="2"/>
  <c r="B19" i="2"/>
  <c r="D19" i="2"/>
  <c r="C20" i="2" s="1"/>
  <c r="E19" i="2"/>
  <c r="C21" i="2" s="1"/>
  <c r="F19" i="2"/>
  <c r="C22" i="2" s="1"/>
  <c r="G19" i="2"/>
  <c r="C23" i="2" s="1"/>
  <c r="H19" i="2"/>
  <c r="I19" i="2"/>
  <c r="C25" i="2" s="1"/>
  <c r="A26" i="2"/>
  <c r="B26" i="2"/>
  <c r="D26" i="2"/>
  <c r="C27" i="2" s="1"/>
  <c r="E26" i="2"/>
  <c r="C28" i="2" s="1"/>
  <c r="F26" i="2"/>
  <c r="C29" i="2" s="1"/>
  <c r="G26" i="2"/>
  <c r="C30" i="2" s="1"/>
  <c r="H26" i="2"/>
  <c r="I26" i="2"/>
  <c r="C32" i="2" s="1"/>
  <c r="A33" i="2"/>
  <c r="B33" i="2"/>
  <c r="D33" i="2"/>
  <c r="C34" i="2" s="1"/>
  <c r="E33" i="2"/>
  <c r="C35" i="2" s="1"/>
  <c r="F33" i="2"/>
  <c r="C36" i="2" s="1"/>
  <c r="G33" i="2"/>
  <c r="C37" i="2" s="1"/>
  <c r="H33" i="2"/>
  <c r="I33" i="2"/>
  <c r="C39" i="2" s="1"/>
  <c r="D12" i="2"/>
  <c r="C13" i="2" s="1"/>
  <c r="E12" i="2"/>
  <c r="C14" i="2" s="1"/>
  <c r="F12" i="2"/>
  <c r="C15" i="2" s="1"/>
  <c r="G12" i="2"/>
  <c r="C16" i="2" s="1"/>
  <c r="H12" i="2"/>
  <c r="I12" i="2"/>
  <c r="C18" i="2" s="1"/>
  <c r="B12" i="2"/>
  <c r="A12" i="2"/>
  <c r="I5" i="2"/>
  <c r="C11" i="2" s="1"/>
  <c r="H5" i="2"/>
  <c r="E5" i="2"/>
  <c r="C7" i="2" s="1"/>
  <c r="F5" i="2"/>
  <c r="C8" i="2" s="1"/>
  <c r="G5" i="2"/>
  <c r="C9" i="2" s="1"/>
  <c r="D5" i="2"/>
  <c r="C6" i="2" s="1"/>
  <c r="B5" i="2"/>
  <c r="A5" i="2"/>
  <c r="C54" i="2" l="1"/>
  <c r="C262" i="2"/>
  <c r="C248" i="2"/>
  <c r="C220" i="2"/>
  <c r="C178" i="2"/>
  <c r="C227" i="2"/>
  <c r="C206" i="2"/>
  <c r="C255" i="2"/>
  <c r="C241" i="2"/>
  <c r="C234" i="2"/>
  <c r="C213" i="2"/>
  <c r="C145" i="2"/>
  <c r="C192" i="2"/>
  <c r="C187" i="2"/>
  <c r="C61" i="2"/>
  <c r="C199" i="2"/>
  <c r="C185" i="2"/>
  <c r="C171" i="2"/>
  <c r="C164" i="2"/>
  <c r="C143" i="2"/>
  <c r="C157" i="2"/>
  <c r="C129" i="2"/>
  <c r="C150" i="2"/>
  <c r="C229" i="2"/>
  <c r="C136" i="2"/>
  <c r="C17" i="2"/>
  <c r="C52" i="2"/>
  <c r="C115" i="2"/>
  <c r="C59" i="2"/>
  <c r="C122" i="2"/>
  <c r="C108" i="2"/>
  <c r="C94" i="2"/>
  <c r="C75" i="2"/>
  <c r="C101" i="2"/>
  <c r="C80" i="2"/>
  <c r="C87" i="2"/>
  <c r="C68" i="2"/>
  <c r="C73" i="2"/>
  <c r="C250" i="2"/>
  <c r="C236" i="2"/>
  <c r="C12" i="2"/>
  <c r="C66" i="2"/>
  <c r="C166" i="2"/>
  <c r="C45" i="2"/>
  <c r="C138" i="2"/>
  <c r="C131" i="2"/>
  <c r="C117" i="2"/>
  <c r="C38" i="2"/>
  <c r="C124" i="2"/>
  <c r="C257" i="2"/>
  <c r="C31" i="2"/>
  <c r="C243" i="2"/>
  <c r="C110" i="2"/>
  <c r="C33" i="2"/>
  <c r="C82" i="2"/>
  <c r="C19" i="2"/>
  <c r="C24" i="2"/>
  <c r="C215" i="2"/>
  <c r="C201" i="2"/>
  <c r="C40" i="2"/>
  <c r="C103" i="2"/>
  <c r="C89" i="2"/>
  <c r="C194" i="2"/>
  <c r="C180" i="2"/>
  <c r="C47" i="2"/>
  <c r="C222" i="2"/>
  <c r="C208" i="2"/>
  <c r="C96" i="2"/>
  <c r="C173" i="2"/>
  <c r="C159" i="2"/>
  <c r="C152" i="2"/>
  <c r="C26" i="2"/>
  <c r="C10" i="2"/>
  <c r="C5" i="2"/>
</calcChain>
</file>

<file path=xl/comments1.xml><?xml version="1.0" encoding="utf-8"?>
<comments xmlns="http://schemas.openxmlformats.org/spreadsheetml/2006/main">
  <authors>
    <author>user</author>
  </authors>
  <commentList>
    <comment ref="C1" authorId="0" shapeId="0">
      <text>
        <r>
          <rPr>
            <b/>
            <sz val="9"/>
            <color indexed="81"/>
            <rFont val="Tahoma"/>
            <family val="2"/>
          </rPr>
          <t>user:</t>
        </r>
        <r>
          <rPr>
            <sz val="9"/>
            <color indexed="81"/>
            <rFont val="Tahoma"/>
            <family val="2"/>
          </rPr>
          <t xml:space="preserve">
1.</t>
        </r>
        <r>
          <rPr>
            <sz val="9"/>
            <color indexed="81"/>
            <rFont val="細明體"/>
            <family val="3"/>
            <charset val="136"/>
          </rPr>
          <t xml:space="preserve">選取將本欄，複製。
</t>
        </r>
        <r>
          <rPr>
            <sz val="9"/>
            <color indexed="81"/>
            <rFont val="Tahoma"/>
            <family val="2"/>
          </rPr>
          <t>2.</t>
        </r>
        <r>
          <rPr>
            <sz val="9"/>
            <color indexed="81"/>
            <rFont val="細明體"/>
            <family val="3"/>
            <charset val="136"/>
          </rPr>
          <t>打開「</t>
        </r>
        <r>
          <rPr>
            <sz val="9"/>
            <color indexed="81"/>
            <rFont val="Tahoma"/>
            <family val="2"/>
          </rPr>
          <t>02-</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第二章：基礎飛行原理</t>
        </r>
        <r>
          <rPr>
            <sz val="9"/>
            <color indexed="81"/>
            <rFont val="Tahoma"/>
            <family val="2"/>
          </rPr>
          <t>.txt</t>
        </r>
        <r>
          <rPr>
            <sz val="9"/>
            <color indexed="81"/>
            <rFont val="細明體"/>
            <family val="3"/>
            <charset val="136"/>
          </rPr>
          <t xml:space="preserve">」，全選、剛除。
</t>
        </r>
        <r>
          <rPr>
            <sz val="9"/>
            <color indexed="81"/>
            <rFont val="Tahoma"/>
            <family val="2"/>
          </rPr>
          <t>3.</t>
        </r>
        <r>
          <rPr>
            <sz val="9"/>
            <color indexed="81"/>
            <rFont val="細明體"/>
            <family val="3"/>
            <charset val="136"/>
          </rPr>
          <t xml:space="preserve">貼上。
</t>
        </r>
        <r>
          <rPr>
            <sz val="9"/>
            <color indexed="81"/>
            <rFont val="Tahoma"/>
            <family val="2"/>
          </rPr>
          <t>4.</t>
        </r>
        <r>
          <rPr>
            <sz val="9"/>
            <color indexed="81"/>
            <rFont val="細明體"/>
            <family val="3"/>
            <charset val="136"/>
          </rPr>
          <t xml:space="preserve">存檔、離開。
</t>
        </r>
        <r>
          <rPr>
            <sz val="9"/>
            <color indexed="81"/>
            <rFont val="Tahoma"/>
            <family val="2"/>
          </rPr>
          <t>5.</t>
        </r>
        <r>
          <rPr>
            <sz val="9"/>
            <color indexed="81"/>
            <rFont val="細明體"/>
            <family val="3"/>
            <charset val="136"/>
          </rPr>
          <t>將「</t>
        </r>
        <r>
          <rPr>
            <sz val="9"/>
            <color indexed="81"/>
            <rFont val="Tahoma"/>
            <family val="2"/>
          </rPr>
          <t>02-</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第二章：基礎飛行原理</t>
        </r>
        <r>
          <rPr>
            <sz val="9"/>
            <color indexed="81"/>
            <rFont val="Tahoma"/>
            <family val="2"/>
          </rPr>
          <t>.txt</t>
        </r>
        <r>
          <rPr>
            <sz val="9"/>
            <color indexed="81"/>
            <rFont val="細明體"/>
            <family val="3"/>
            <charset val="136"/>
          </rPr>
          <t>」上傳至</t>
        </r>
        <r>
          <rPr>
            <sz val="9"/>
            <color indexed="81"/>
            <rFont val="Tahoma"/>
            <family val="2"/>
          </rPr>
          <t xml:space="preserve"> LINE </t>
        </r>
        <r>
          <rPr>
            <sz val="9"/>
            <color indexed="81"/>
            <rFont val="細明體"/>
            <family val="3"/>
            <charset val="136"/>
          </rPr>
          <t>的</t>
        </r>
        <r>
          <rPr>
            <sz val="9"/>
            <color indexed="81"/>
            <rFont val="Tahoma"/>
            <family val="2"/>
          </rPr>
          <t xml:space="preserve"> </t>
        </r>
        <r>
          <rPr>
            <sz val="9"/>
            <color indexed="81"/>
            <rFont val="細明體"/>
            <family val="3"/>
            <charset val="136"/>
          </rPr>
          <t>「</t>
        </r>
        <r>
          <rPr>
            <sz val="9"/>
            <color indexed="81"/>
            <rFont val="Tahoma"/>
            <family val="2"/>
          </rPr>
          <t>Amo</t>
        </r>
        <r>
          <rPr>
            <sz val="9"/>
            <color indexed="81"/>
            <rFont val="細明體"/>
            <family val="3"/>
            <charset val="136"/>
          </rPr>
          <t>無人機</t>
        </r>
        <r>
          <rPr>
            <sz val="9"/>
            <color indexed="81"/>
            <rFont val="Tahoma"/>
            <family val="2"/>
          </rPr>
          <t>UAV</t>
        </r>
        <r>
          <rPr>
            <sz val="9"/>
            <color indexed="81"/>
            <rFont val="細明體"/>
            <family val="3"/>
            <charset val="136"/>
          </rPr>
          <t xml:space="preserve">」群組。
</t>
        </r>
        <r>
          <rPr>
            <sz val="9"/>
            <color indexed="81"/>
            <rFont val="Tahoma"/>
            <family val="2"/>
          </rPr>
          <t>6.(</t>
        </r>
        <r>
          <rPr>
            <sz val="9"/>
            <color indexed="81"/>
            <rFont val="細明體"/>
            <family val="3"/>
            <charset val="136"/>
          </rPr>
          <t>手機</t>
        </r>
        <r>
          <rPr>
            <sz val="9"/>
            <color indexed="81"/>
            <rFont val="Tahoma"/>
            <family val="2"/>
          </rPr>
          <t xml:space="preserve"> LINE </t>
        </r>
        <r>
          <rPr>
            <sz val="9"/>
            <color indexed="81"/>
            <rFont val="細明體"/>
            <family val="3"/>
            <charset val="136"/>
          </rPr>
          <t>群組上</t>
        </r>
        <r>
          <rPr>
            <sz val="9"/>
            <color indexed="81"/>
            <rFont val="Tahoma"/>
            <family val="2"/>
          </rPr>
          <t xml:space="preserve">) </t>
        </r>
        <r>
          <rPr>
            <sz val="9"/>
            <color indexed="81"/>
            <rFont val="細明體"/>
            <family val="3"/>
            <charset val="136"/>
          </rPr>
          <t>打開本檔，再打開</t>
        </r>
        <r>
          <rPr>
            <sz val="9"/>
            <color indexed="81"/>
            <rFont val="Tahoma"/>
            <family val="2"/>
          </rPr>
          <t xml:space="preserve"> iPhone </t>
        </r>
        <r>
          <rPr>
            <sz val="9"/>
            <color indexed="81"/>
            <rFont val="細明體"/>
            <family val="3"/>
            <charset val="136"/>
          </rPr>
          <t>營幕朗讀。</t>
        </r>
      </text>
    </comment>
  </commentList>
</comments>
</file>

<file path=xl/sharedStrings.xml><?xml version="1.0" encoding="utf-8"?>
<sst xmlns="http://schemas.openxmlformats.org/spreadsheetml/2006/main" count="405" uniqueCount="289">
  <si>
    <t>題號</t>
  </si>
  <si>
    <t>題目</t>
  </si>
  <si>
    <t>A</t>
  </si>
  <si>
    <t>B</t>
  </si>
  <si>
    <t>C</t>
  </si>
  <si>
    <t>D</t>
  </si>
  <si>
    <t>答案</t>
  </si>
  <si>
    <t>題解</t>
  </si>
  <si>
    <t>1</t>
  </si>
  <si>
    <t>以上皆是。</t>
  </si>
  <si>
    <t>2</t>
  </si>
  <si>
    <t>3</t>
  </si>
  <si>
    <t>4</t>
  </si>
  <si>
    <t>5</t>
  </si>
  <si>
    <t>6</t>
  </si>
  <si>
    <t>7</t>
  </si>
  <si>
    <t>8</t>
  </si>
  <si>
    <t>9</t>
  </si>
  <si>
    <t>10</t>
  </si>
  <si>
    <t>11</t>
  </si>
  <si>
    <t>12</t>
  </si>
  <si>
    <t>13</t>
  </si>
  <si>
    <t>14</t>
  </si>
  <si>
    <t>15</t>
  </si>
  <si>
    <t>16</t>
  </si>
  <si>
    <t>17</t>
  </si>
  <si>
    <t>18</t>
  </si>
  <si>
    <t>以上皆非。</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</si>
  <si>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</si>
  <si>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</si>
  <si>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</si>
  <si>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</si>
  <si>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</si>
  <si>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</si>
  <si>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</si>
  <si>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</si>
  <si>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</si>
  <si>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</si>
  <si>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</si>
  <si>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</si>
  <si>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</si>
  <si>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</si>
  <si>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</si>
  <si>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</si>
  <si>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</si>
  <si>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</si>
  <si>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</si>
  <si>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</si>
  <si>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</si>
  <si>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</si>
  <si>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</si>
  <si>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</si>
  <si>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</si>
  <si>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Question</t>
    <phoneticPr fontId="1" type="noConversion"/>
  </si>
  <si>
    <t>A</t>
    <phoneticPr fontId="1" type="noConversion"/>
  </si>
  <si>
    <t>B</t>
    <phoneticPr fontId="1" type="noConversion"/>
  </si>
  <si>
    <t>C</t>
    <phoneticPr fontId="1" type="noConversion"/>
  </si>
  <si>
    <t>D</t>
    <phoneticPr fontId="1" type="noConversion"/>
  </si>
  <si>
    <t>"="答案是： "&amp;IF(G2="A",1,IF(G2="B",2,IF(G2="C",3,IF(G2=("D"),4,"XXXX"))))"</t>
    <phoneticPr fontId="1" type="noConversion"/>
  </si>
  <si>
    <t>Note</t>
    <phoneticPr fontId="1" type="noConversion"/>
  </si>
  <si>
    <t xml:space="preserve">    </t>
    <phoneticPr fontId="1" type="noConversion"/>
  </si>
  <si>
    <t>人為因素。</t>
  </si>
  <si>
    <t>社會因素。</t>
  </si>
  <si>
    <t>朗讀完畢，祝你考試順利。</t>
    <phoneticPr fontId="1" type="noConversion"/>
  </si>
  <si>
    <t>朗讀完畢，祝你考試順利。</t>
    <phoneticPr fontId="1" type="noConversion"/>
  </si>
  <si>
    <t>遙控無人機操作人在執行任務前及過程中,需確保參與執行的成員不受下列哪種狀況的影響</t>
  </si>
  <si>
    <t>娛樂圈八卦和謠言。</t>
  </si>
  <si>
    <t>國內股市行情。</t>
  </si>
  <si>
    <t>酒精及藥物。</t>
  </si>
  <si>
    <t>世界經濟發展情勢。</t>
  </si>
  <si>
    <t>為了維護飛航安全，所有參與遙控無人機操作的成員（包含操作人、觀察員等），在任務前與任務期間，生理與心理狀態皆必須保持清醒與正常，絕不能受到酒精、毒品或任何會減損判斷力的藥物影響。</t>
  </si>
  <si>
    <t>遙控無人機操作人在執行任務前及過程中,下列哪種狀況也可能影響操作安全</t>
  </si>
  <si>
    <t>一般的成藥如抗組織胺或解除充血劑。</t>
  </si>
  <si>
    <t>市面上常見的感冒藥或抗過敏藥（如抗組織胺、解除充血劑），常伴隨嗜睡、頭暈、注意力不集中或反應遲鈍等副作用，這些皆會實質影響操作人在飛行時的即時反應與決策安全。</t>
  </si>
  <si>
    <t>有關可能影響操作人安全操作遙控無人機的因素主要有下列哪種狀況</t>
  </si>
  <si>
    <t>過度換氣、壓力、疲勞。</t>
  </si>
  <si>
    <t>脫水、熱中暑。</t>
  </si>
  <si>
    <t>酒精與藥物。</t>
  </si>
  <si>
    <t>影響生理與心理判斷力的人為因素非常廣泛，包含過度換氣、心理壓力、身體疲勞、環境造成的脫水與熱中暑，以及外來的酒精與藥物，上述狀況皆會嚴重危及無人機的操作安全。</t>
  </si>
  <si>
    <t>過度換氣若無法善加控制,可能讓遙控無人機操作人進入下列哪個狀態</t>
  </si>
  <si>
    <t>神經緊張。</t>
  </si>
  <si>
    <t>意識不清。</t>
  </si>
  <si>
    <t>心情鬱悶。</t>
  </si>
  <si>
    <t>懷疑心重。</t>
  </si>
  <si>
    <t>過度換氣（Hyperventilation）會導致體內二氧化碳濃度過低。若無法及時控制，會引發頭暈、視覺窄化，嚴重時甚至會導致意識不清或昏厥，使無人機處於無人控制的極度危險狀態。</t>
  </si>
  <si>
    <t>過度換氣的常見症狀有下列哪種狀況</t>
  </si>
  <si>
    <t>視界窄化、意識不清。</t>
  </si>
  <si>
    <t>輕快或暈眩感、肢體末稍有刺痛感。</t>
  </si>
  <si>
    <t>對冷熱敏感、肌肉痙攣感。</t>
  </si>
  <si>
    <t>當操作人因緊張或焦慮導致過度換氣時，身體會出現多種生理反應，包括暈眩、手腳末梢麻痺或刺痛、肌肉痙攣、視野變窄，最終甚至意識不清。</t>
  </si>
  <si>
    <t>過度換氣的改善方法是下列哪種方式</t>
  </si>
  <si>
    <t>多閱讀、多聽音樂。</t>
  </si>
  <si>
    <t>適當的飲食。</t>
  </si>
  <si>
    <t>血液裡的二氧化碳濃度恢復到正常狀態。</t>
  </si>
  <si>
    <t>擴展社交範圍。</t>
  </si>
  <si>
    <t>最好的預防及矯治過度換氣的方法就是下列哪種方式</t>
  </si>
  <si>
    <t>讓呼吸保持正常、朝向紙袋呼吸或大聲交談。</t>
  </si>
  <si>
    <t>臨床與航空生理學上，矯治過度換氣最直接有效的實務做法包含：刻意放慢呼吸速度、朝向紙袋或雙手摀住口鼻呼吸（藉此吸回呼出的二氧化碳），或透過大聲說話強迫自己改變過快的呼吸頻率。</t>
  </si>
  <si>
    <t>下列哪種狀況是人體對於生理及心理的需求所做出的反應</t>
  </si>
  <si>
    <t>脫水。</t>
  </si>
  <si>
    <t>壓力。</t>
  </si>
  <si>
    <t>熱中暑。</t>
  </si>
  <si>
    <t>酒醉。</t>
  </si>
  <si>
    <t>「壓力」是人體面對外在環境改變、挑戰、威脅或內在要求時，生理與心理所產生的綜合性調適反應。</t>
  </si>
  <si>
    <t>壓力源包括下列哪種狀況</t>
  </si>
  <si>
    <t>物理的壓力(如噪音及振動)。</t>
  </si>
  <si>
    <t>生理的壓力(如疲勞)。</t>
  </si>
  <si>
    <t>心理的壓力(如工作困難或個人情緒因素)。</t>
  </si>
  <si>
    <t>壓力源的分類包含：物理環境（噪音、極端氣溫、震動）、生理狀況（睡眠不足、疾病、疲勞）以及心理因素（任務複雜度高、時間壓力、焦慮或家庭情緒等）。</t>
  </si>
  <si>
    <t>持續性的急性壓力可能發展成下列哪種狀況</t>
  </si>
  <si>
    <t>不定期的過度換氣壓力。</t>
  </si>
  <si>
    <t>不定期的疲勞壓力。</t>
  </si>
  <si>
    <t>長期的慢性壓力。</t>
  </si>
  <si>
    <t>不定期的酒精壓力。</t>
  </si>
  <si>
    <t>當身體頻繁面對突發的「急性壓力」，且未能得到適當的舒緩與調適時，這些壓力會不斷累積，最終轉化為長期影響身心健康的「慢性壓力」。</t>
  </si>
  <si>
    <t>慢性壓力在長期累積或壓抑下,會導致下列哪種狀況</t>
  </si>
  <si>
    <t>個人能力大幅提升。</t>
  </si>
  <si>
    <t>個人能力時好時壞。</t>
  </si>
  <si>
    <t>個人能力大幅下滑。</t>
  </si>
  <si>
    <t>個人能力保持不變。</t>
  </si>
  <si>
    <t>慢性壓力會蠶食人類的專注力、記憶力與反應速度。長期壓抑或處於慢性壓力下的無人機操作人，其整體判斷力、空間感知與危機處理的「個人能力會大幅下滑」。</t>
  </si>
  <si>
    <t>遙控無人機操作人若體驗到壓力已導致己身能力下滑時即應採取下列哪種作為</t>
  </si>
  <si>
    <t>暫停執行任務、適當休息。</t>
  </si>
  <si>
    <t>堅持到底、繼續執行任務。</t>
  </si>
  <si>
    <t>順其自然、不必大驚小怪。</t>
  </si>
  <si>
    <t>邊聽音樂舒壓、邊執行任務。</t>
  </si>
  <si>
    <t>良好的飛行決策與人為因素管理要求：當操作人察覺到自己因為壓力或身體不適導致操作能力下降時，應立即採取安全保守的作为，即「暫停任務並進行適當的休息」，切勿逞強。</t>
  </si>
  <si>
    <t>狀況警覺是對哪些風險元素的認知與瞭解</t>
  </si>
  <si>
    <t>飛行作業。</t>
  </si>
  <si>
    <t>操作人、航空器。</t>
  </si>
  <si>
    <t>環境及任務種類。</t>
  </si>
  <si>
    <t>狀況警覺（Situation Awareness, SA）是指操作人對自身（操作人狀態）、無人機（航空器系統、電量）、周遭空域與氣象（環境）以及當下進行的飛航目的（任務與作業）有全面且即時的認知、理解與未來的預測。</t>
  </si>
  <si>
    <t>下列哪種狀況可能使遙控無人機操作人過度集中注意力在某件事物而失去對整體任務的掌握</t>
  </si>
  <si>
    <t>疲勞。</t>
  </si>
  <si>
    <t>工作量過多。</t>
  </si>
  <si>
    <t>當人體面臨疲勞、高度心理壓力，或是工作量過於飽和（Task Overload）時，大腦會產生「隧道視野」或過度聚焦（Channelized Attention）在單一突發故障上，進而遺漏了更重要的周遭環境或飛行姿態。</t>
  </si>
  <si>
    <t>操作遙控無人機前藉由下列哪些有效的工作量管理,以確保飛行任務安全執行</t>
  </si>
  <si>
    <t>計畫。</t>
  </si>
  <si>
    <t>整理。</t>
  </si>
  <si>
    <t>排序工作任務。</t>
  </si>
  <si>
    <t>為了避免飛行中工作量超載，操作人在飛行前應做好充分的管理工作，包括：周詳的飛行計畫、工作環境與器材的整理，以及排定各項任務與應變程序的優先順序。</t>
  </si>
  <si>
    <t>疲勞可分為下列哪幾種</t>
  </si>
  <si>
    <t>生理性疲勞。</t>
  </si>
  <si>
    <t>心理性疲勞。</t>
  </si>
  <si>
    <t>急性與慢性疲勞。</t>
  </si>
  <si>
    <t>疲勞是多元面向的，臨床與航空安全上常將其細分為短時間因缺乏睡眠引起的「急性疲勞」、長時間累積的「慢性疲勞」，或是因大腦過度運作、身體過度勞累引發的「心理與生理性疲勞」。</t>
  </si>
  <si>
    <t>疲勞會導致下列哪幾種症狀,影響遙控無人機操作人的判斷力</t>
  </si>
  <si>
    <t>注意力渙散。</t>
  </si>
  <si>
    <t>專注力下降。</t>
  </si>
  <si>
    <t>協調性及溝通性降低。</t>
  </si>
  <si>
    <t>疲勞對飛行員或操作人的不良影響極大，包括注意力無法集中（渙散）、反應時間拉長、大腦專注力下降、手眼協調性變差，以及與團隊（如觀察員）的溝通效率降低。</t>
  </si>
  <si>
    <t>急性疲勞通常是下列哪一種</t>
  </si>
  <si>
    <t>短期。</t>
  </si>
  <si>
    <t>長期。</t>
  </si>
  <si>
    <t>有時長期有時短期。</t>
  </si>
  <si>
    <t>急性疲勞（Acute Fatigue）通常是「短期」的，主要是因為一兩天內睡眠不足、連續工作時間過長、或進行高強度活動所致，通常在經過一次充足的睡眠或休息後即可消除。</t>
  </si>
  <si>
    <t>遙控無人機操作人若忽略或未及時改善急性疲勞,則會進一步造成下列哪種狀況</t>
  </si>
  <si>
    <t>過度疲勞。</t>
  </si>
  <si>
    <t>慢性疲勞。</t>
  </si>
  <si>
    <t>中度疲勞。</t>
  </si>
  <si>
    <t>低度疲勞。</t>
  </si>
  <si>
    <t>如果操作人長期忽視急性疲勞，不及時進行足夠的休息與調節，使身體持續處於透支狀態，日積月累後就會演變成難以恢復的「慢性疲勞」（Chronic Fatigue）。</t>
  </si>
  <si>
    <t>慢性疲勞可能出現的症狀包括下列哪種狀況</t>
  </si>
  <si>
    <t>虛弱、強烈的疲倦、倦怠感。</t>
  </si>
  <si>
    <t>心悸、呼吸不順、頭痛。</t>
  </si>
  <si>
    <t>其他身體的不適及沮喪與焦慮。</t>
  </si>
  <si>
    <t>慢性疲勞屬於深層且長期的身心系統失調，其表現不僅是強烈的無力與倦怠感，還常伴隨心血管與神經症狀（心悸、頭痛、呼吸不順），甚至是心理層面的焦慮與沮喪。</t>
  </si>
  <si>
    <t>急性疲勞中,有種特殊情況稱之為下列哪種疲勞,在操作方面的影響主要有時機掌握混亂及視域過度聚焦</t>
  </si>
  <si>
    <t>社會性疲勞。</t>
  </si>
  <si>
    <t>經濟性疲勞。</t>
  </si>
  <si>
    <t>技能疲勞。</t>
  </si>
  <si>
    <t>教育性疲勞。</t>
  </si>
  <si>
    <t>「技能疲勞」（Skill Fatigue）是急性疲勞的一種特殊型態。當長時間重複執行高精密度的操作技能時，操作人會表現出對任務的時間感混亂（例如錯過修正姿態的時機）以及視線過度聚焦在單一儀表或畫面上。</t>
  </si>
  <si>
    <t>下列哪種狀況是身體組織水分不足的情況</t>
  </si>
  <si>
    <t>失眠。</t>
  </si>
  <si>
    <t>低血糖。</t>
  </si>
  <si>
    <t>缺氧。</t>
  </si>
  <si>
    <t>「脫水」（Dehydration）在生理學上的定義即為身體攝取的水分少於流失的水分，進而導致體內組織與細胞水分不足的現象。</t>
  </si>
  <si>
    <t>下列哪種狀況可能會造成水分補充不及導致脫水</t>
  </si>
  <si>
    <t>長時間處於高溫、高溼度、高海拔環境。</t>
  </si>
  <si>
    <t>心理壓力。</t>
  </si>
  <si>
    <t>飲用過多刺激性飲料。</t>
  </si>
  <si>
    <t>高溫高濕會加速排汗，高海拔會加速呼吸水分蒸發；心理壓力與飲用咖啡、茶、酒精等刺激性利尿飲料，皆會加劇身體水分流失，增加脫水風險。</t>
  </si>
  <si>
    <t>脫水最先出現的症狀是下列哪種狀況,將導致遙控無人機操作人的生理及心智表現下滑</t>
  </si>
  <si>
    <t>口乾。</t>
  </si>
  <si>
    <t>舌燥。</t>
  </si>
  <si>
    <t>較強的疲勞感。</t>
  </si>
  <si>
    <t>脫水初期最直觀的生理警訊就是口乾舌燥。隨著缺水程度增加，大腦血液循環變差，操作人會立刻感受到明顯的疲勞感、頭痛，並伴隨心智專注力與判斷力的嚴重下滑。</t>
  </si>
  <si>
    <t>為避免脫水,遙控無人機操作人應隨時掌握己身之生理狀況,並採取下列哪個動作</t>
  </si>
  <si>
    <t>隨時閱讀。</t>
  </si>
  <si>
    <t>適時補充水分。</t>
  </si>
  <si>
    <t>適時上廁所。</t>
  </si>
  <si>
    <t>隨時聽音樂。</t>
  </si>
  <si>
    <t>預防脫水唯一且最直接有效的物理性做法，就是在操作無人機的環境中「適時、規律地補充乾淨的飲用水」。</t>
  </si>
  <si>
    <t>下列哪種狀況是指身體無法對體溫進行控制</t>
  </si>
  <si>
    <t>「熱中暑」（Heat Stroke）是中暑中最嚴重的類型。此時人體的體溫調節中樞（下視丘）完全失控，導致體內熱量瘋狂蓄積，體溫可能飆升至40°C以上，具生命危險。</t>
  </si>
  <si>
    <t>熱中暑原因是下列哪種狀況</t>
    <phoneticPr fontId="1" type="noConversion"/>
  </si>
  <si>
    <t>身體的熱無法排出。</t>
  </si>
  <si>
    <t>飲酒過量。</t>
  </si>
  <si>
    <t>A</t>
    <phoneticPr fontId="1" type="noConversion"/>
  </si>
  <si>
    <t>避免熱中暑的方法是採取下列哪個動作</t>
  </si>
  <si>
    <t>勿飲酒過量。</t>
  </si>
  <si>
    <t>充分的睡眠。</t>
  </si>
  <si>
    <t>規律攝取足量水份。</t>
  </si>
  <si>
    <t>按時用餐。</t>
  </si>
  <si>
    <t>在烈日或高溫環境下操作遙控無人機，預防熱中暑最有效的手段是「規律且足量地攝取水分」（配合補充電解質），協助身體正常排汗散熱。</t>
  </si>
  <si>
    <t>若遙控無人機操作人服用下列哪種藥物,可能會產生暈眩或是感知功能不全的情況</t>
  </si>
  <si>
    <t>成藥。</t>
  </si>
  <si>
    <t>抗組織胺。</t>
  </si>
  <si>
    <t>解除充血劑。</t>
  </si>
  <si>
    <t>無論是一般藥局買到的成藥，或是醫師開立用於治療鼻塞、過敏的「抗組織胺」與「解除充血劑」，皆可能引起嗜睡、頭暈、空間感知力下降等副作用。</t>
  </si>
  <si>
    <t>酒精可能對下列哪種狀況造成影響</t>
  </si>
  <si>
    <t>影響操作及判斷、較難掌握周邊環境的變化。</t>
  </si>
  <si>
    <t>身體協調性變差、視界窄化。</t>
  </si>
  <si>
    <t>降低邏輯能力及注意力低落。</t>
  </si>
  <si>
    <t>酒精屬於中樞神經抑制劑，攝入後會全面瓦解大腦與身體的功能，包括視線變窄、手腳不協調、反應遲鈍、邏輯思考能力與狀況警覺大幅降低。</t>
  </si>
  <si>
    <t>在下列哪個時機,遙控無人機操作人應對遙控無人機進行起飛前檢查</t>
  </si>
  <si>
    <t>每次操作前。</t>
  </si>
  <si>
    <t>遙控無人機有明顯異狀時。</t>
  </si>
  <si>
    <t>天氣變壞時。</t>
  </si>
  <si>
    <t>操作人感覺不對時。</t>
  </si>
  <si>
    <t>依據安全作業規範，飛行檢查表（Checklist）的使用不是憑感覺。為了確保不因疏忽而釀成事故，操作人必須在「每次操作飛行前」都嚴格執行起飛前檢查。</t>
  </si>
  <si>
    <t>遙控無人機起飛前檢查中发现任何異常狀況,應採取下列哪個動作</t>
  </si>
  <si>
    <t>暫時忽略異常狀況,繼續操作。</t>
  </si>
  <si>
    <t>應立即修正以確保安全。</t>
  </si>
  <si>
    <t>記錄異常狀況就好,不必大驚小怪,繼續操作。</t>
  </si>
  <si>
    <t>任務重要就繼續操作,任務不重要就暫停操作。</t>
  </si>
  <si>
    <t>飛行安全的底線是「零容忍」。起飛前檢查只要發現任何一項參數、結構或訊號異常，都必須「立即停飛並修正」至符合安全飛航標準，絕不容許帶故障強行起飛。</t>
  </si>
  <si>
    <t>緊急落地可依類型區分為下列哪幾種</t>
  </si>
  <si>
    <t>迫降。</t>
  </si>
  <si>
    <t>預防性緊急著陸。</t>
  </si>
  <si>
    <t>水上迫降。</t>
  </si>
  <si>
    <t>在航空器緊急處置程序中，緊急落地主要包含三種：因動力或控制系統完全失效導致的強制「迫降」；因天候惡化或發現潛在故障而主動選擇安全地點的「預防性緊急著陸」；以及在水面上進行的「水上迫降」。</t>
  </si>
  <si>
    <t>當面對緊急狀況時,若平時沒有熟悉緊急應變之處置程序,操作人可能會陷入下列哪種情境中</t>
  </si>
  <si>
    <t>遙控無人機即將墜地。</t>
  </si>
  <si>
    <t>遙控無人機不會出事。</t>
  </si>
  <si>
    <t>遙控無人機的緊急狀況會自動消失。</t>
  </si>
  <si>
    <t>遙控無人機會自動處理緊急狀況。</t>
  </si>
  <si>
    <t>空中危機往往發生在電光石火之間。如果操作人平時不熟悉緊急處置檢查表（Emergency Procedures），一旦遇到斷訊或失控，往往會因驚慌失措而錯過黃金修正時間，直接導致「遙控無人機墜地事故」。</t>
  </si>
  <si>
    <t>當遙控無人機發生異常或緊急事件時,應先穩定操作,掌握無人機位置及高度,再採取下列哪個動作</t>
  </si>
  <si>
    <t>通報有關機關。</t>
  </si>
  <si>
    <t>依檢查表,啟動或關閉相關裝備。</t>
  </si>
  <si>
    <t>尋找最佳的緊急落地處。</t>
  </si>
  <si>
    <t>根據飛航緊急處置核心原則「飛行、導航、溝通」（Aviate, Navigate, Communicate），當無人機發生緊急異常時，首要任務是穩定飛行並掌握位置高度（Aviate &amp; Navigate），緊接著最重要的安全防禦措施就是立刻「尋找最佳的緊急落地處（如空曠無人區）」，以防砸傷地面人員，隨後才是執行檢查表與通報。</t>
  </si>
  <si>
    <t>飛行決策是基於經驗的累積及判斷集合而成,著重於下列哪種決策方案</t>
  </si>
  <si>
    <t>學習決策方案。</t>
  </si>
  <si>
    <t>評估決策方案。</t>
  </si>
  <si>
    <t>選擇決策方案。</t>
  </si>
  <si>
    <t>航空飛行決策（Aeronautical Decision Making, ADM）是一個動態的心智循環過程。它涵蓋了飛行員或操作人對各種突發情境的學習累積、對各種可能策略的評估、以及最終「選擇最安全決策方案」的綜合展現。</t>
  </si>
  <si>
    <t>風險管理的目的是為能夠主動辨識與飛航安全有關的危害因子,並透過下列哪個手段降低到可接受之程度</t>
  </si>
  <si>
    <t>迴避。</t>
  </si>
  <si>
    <t>減少。</t>
  </si>
  <si>
    <t>隔離。</t>
  </si>
  <si>
    <t>風險管理（Risk Management）不是消極地面對危險，而是透過主動的危害辨識，採取包含「迴避風險」（如不飛禁航區）、「減少風險影響範圍」或「隔離危害因素」等多元控管手段，將飛安風險降低至安全許可的門檻內。</t>
  </si>
  <si>
    <t>飛行決策的過程中應掌握下列哪個基本原則</t>
  </si>
  <si>
    <t>不接受非相關的風險、將風險設定在合適的層級。</t>
  </si>
  <si>
    <t>在獲益超過危害時接受風險。</t>
  </si>
  <si>
    <t>將風險管理整合在飛行各階段的計劃過程中。</t>
  </si>
  <si>
    <t>操作人執行遙控無人機操作時,下列哪種心態干擾會降低飛行決策的品質</t>
  </si>
  <si>
    <t>反威權、衝動及僥倖。</t>
  </si>
  <si>
    <t>衝動、僥倖及服從。</t>
  </si>
  <si>
    <t>英雄主義及積極順應。</t>
  </si>
  <si>
    <t>遙控無人機操作人降低風險的方法,包括下列哪種</t>
  </si>
  <si>
    <t>辨識己身風險。</t>
  </si>
  <si>
    <t>預知己身風險。</t>
  </si>
  <si>
    <t>覺察己身風險。</t>
  </si>
  <si>
    <t>操作人要有效落實風險控管，必須在飛行全程展現良好的狀況警覺，具備「辨識」當前危害、「覺察」環境風險轉變，以及「預知」未來潛在風險發展趨勢的能力。</t>
  </si>
  <si>
    <t>下列哪個因素與飛航安全密切相關,已成為維修部門及飛航管理部門關切的焦點</t>
  </si>
  <si>
    <t>政治因素。</t>
  </si>
  <si>
    <t>經濟因素。</t>
  </si>
  <si>
    <t>根據全球統計，超過七成以上的航空與無人機事故皆源於「人為因素」（Human Factors），例如操作疏忽、決策錯誤、疲勞或溝通不良。因此，這早已成為維修與飛航管理部門提升安全防禦的最核心焦點。</t>
  </si>
  <si>
    <t>自動決策模式基本上是一種反射性的模式,其形成的重要基礎是下列哪種方式</t>
  </si>
  <si>
    <t>大量的訓練及經驗。</t>
  </si>
  <si>
    <t>擴大參與人數。</t>
  </si>
  <si>
    <t>正確的政治指導。</t>
  </si>
  <si>
    <t>高深的哲學思想。</t>
  </si>
  <si>
    <t>自動決策模式（Naturalistic / Recognition-Primed Decision Making）是指在極短時間（如空中緊急斷訊、突然遭遇障礙物）下，大腦不經過冗長的邏輯推理，直接做出的正確反射性處置。這種反射能力完全仰賴於平時「大量的模擬訓練與豐富的實務操作經驗」。</t>
  </si>
  <si>
    <t>自動決策模式常用於下列哪種情況</t>
  </si>
  <si>
    <t>緊急情況。</t>
  </si>
  <si>
    <t>無法預作分析的情況。</t>
  </si>
  <si>
    <t>無法沙盤推演的情況。</t>
  </si>
  <si>
    <t>當無人機在空中面臨突發的「緊急情況」，或瞬間遭遇「完全無法在事前預期、預先分析或沙盤推演的劇烈天候/障礙物危害」時，操作人沒有時間慢慢查閱紙本檢查表，此時便必須高度依賴「自動決策模式」來保全載具與地面安全。</t>
  </si>
  <si>
    <t>普通操作證學科測驗題庫</t>
  </si>
  <si>
    <t>115年7月22日版</t>
  </si>
  <si>
    <t>第四章：緊急處置與飛行決策</t>
    <phoneticPr fontId="1" type="noConversion"/>
  </si>
  <si>
    <t>過度換氣的改善方式是讓血液裡的二氧化碳濃度恢復到正常狀態，核心原理包含放慢呼吸速度、調整呼吸頻率以及穩定情緒。
改善與處理方法調整呼吸：進行緩慢的腹式呼吸，練習延長吐氣時間，讓呼吸頻率變慢。恢復濃度：透過減慢呼吸或重複吸吐氣，使體內流失的二氧化碳濃度回升。安撫情緒：保持冷靜，轉移注意力，避免恐慌使呼吸更快。</t>
    <phoneticPr fontId="1" type="noConversion"/>
  </si>
  <si>
    <t>根據民航局學科教材內容之關聯性，高溫環境工作下若「充分的睡眠」不足（失眠），會顯著降低人體對熱環境的耐受力與體溫調節能力，成為誘發熱中暑的重要危險因子。
熱中暑的根本原因是身體產熱超過了散熱速度，導致體溫調節中樞失效，核心體溫飆升超過 40.5°C。這通常分為兩大類原因：「環境型中暑」（因無法散熱）與「勞動型中暑」（因體內產熱過多）。</t>
    <phoneticPr fontId="1" type="noConversion"/>
  </si>
  <si>
    <t>美國FAA與我國民航局所訂之風險管理基本原則包含：
第1. 不接受不必要的風險；
第2. 當任務獲益大於潛在危害時方可承擔適度風險；
第3. 決策層級要合適；
第4. 必須將風險管理全面整合在飛行的事前、事中、事後計畫中。</t>
    <phoneticPr fontId="1" type="noConversion"/>
  </si>
  <si>
    <t>航空安全上著名的「五大危險飛行心態」（Hazardous Attitudes）包含：反威權（Anti-authority）、衝動（Impulsivity）、僥倖（Invulnerability）、大男人/英雄主義（Macho）以及消極服從/聽天由命（Resignation）。這些心態會嚴重扭曲判斷力，大幅降低飛行決策品質。
--
根據交通部民用航空局發布的《遙控無人機學科測驗規範》，研究指出共有 5 種危險心態干擾會顯著降低飛行決策的品質，分別為：反威權、衝動、僥倖、英雄主義、消極順應。
因此，本題選項：
選項 (A) 反威權、衝動及僥倖：此選項內的三種心態完全符合民航局規範的危險心態干擾，為正確答案。
選項(B) 衝動、僥倖及服從：「服從」並非降低決策品質的危險心態，故此選項錯誤。
選項(C) 英雄主義及積極順應：規範中的危險心態是「消極順應」（盲目聽從他人），而非「積極順應」，故此選項錯誤。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</si>
</sst>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新細明體"/>
      <family val="2"/>
      <scheme val="minor"/>
    </font>
    <font>
      <sz val="9"/>
      <name val="新細明體"/>
      <family val="3"/>
      <charset val="136"/>
      <scheme val="minor"/>
    </font>
    <font>
      <b/>
      <sz val="11"/>
      <color theme="1"/>
      <name val="新細明體"/>
      <family val="1"/>
      <charset val="136"/>
      <scheme val="minor"/>
    </font>
    <font>
      <sz val="11"/>
      <color theme="1"/>
      <name val="新細明體"/>
      <family val="1"/>
      <charset val="136"/>
      <scheme val="minor"/>
    </font>
    <font>
      <b/>
      <sz val="9"/>
      <color indexed="81"/>
      <name val="Tahoma"/>
      <family val="2"/>
    </font>
    <font>
      <sz val="9"/>
      <color indexed="81"/>
      <name val="Tahoma"/>
      <family val="2"/>
    </font>
    <font>
      <sz val="9"/>
      <color indexed="81"/>
      <name val="細明體"/>
      <family val="3"/>
      <charset val="136"/>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2" fillId="0" borderId="0" xfId="0" applyFont="1" applyAlignment="1">
      <alignment vertical="top" wrapText="1"/>
    </xf>
    <xf numFmtId="0" fontId="2"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3" fillId="0" borderId="0" xfId="0" applyFont="1"/>
    <xf numFmtId="0" fontId="3" fillId="2" borderId="0" xfId="0" applyFont="1" applyFill="1" applyAlignment="1">
      <alignment vertical="top" wrapText="1"/>
    </xf>
    <xf numFmtId="0" fontId="0" fillId="0" borderId="0" xfId="0" applyFill="1"/>
    <xf numFmtId="0" fontId="2" fillId="0" borderId="0" xfId="0" applyFont="1" applyFill="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zoomScaleNormal="100" workbookViewId="0">
      <pane ySplit="1" topLeftCell="A2" activePane="bottomLeft" state="frozen"/>
      <selection pane="bottomLeft" activeCell="A2" sqref="A2"/>
    </sheetView>
  </sheetViews>
  <sheetFormatPr defaultRowHeight="15" x14ac:dyDescent="0.3"/>
  <cols>
    <col min="1" max="1" width="4.125" customWidth="1"/>
    <col min="2" max="2" width="37.5" customWidth="1"/>
    <col min="3" max="6" width="11.5" customWidth="1"/>
    <col min="7" max="7" width="3.125" customWidth="1"/>
    <col min="8" max="8" width="80" customWidth="1"/>
  </cols>
  <sheetData>
    <row r="1" spans="1:8" ht="30" x14ac:dyDescent="0.3">
      <c r="A1" s="2" t="s">
        <v>0</v>
      </c>
      <c r="B1" s="2" t="s">
        <v>1</v>
      </c>
      <c r="C1" s="2" t="s">
        <v>2</v>
      </c>
      <c r="D1" s="2" t="s">
        <v>3</v>
      </c>
      <c r="E1" s="2" t="s">
        <v>4</v>
      </c>
      <c r="F1" s="2" t="s">
        <v>5</v>
      </c>
      <c r="G1" s="2" t="s">
        <v>6</v>
      </c>
      <c r="H1" s="2" t="s">
        <v>7</v>
      </c>
    </row>
    <row r="2" spans="1:8" ht="45" x14ac:dyDescent="0.3">
      <c r="A2" s="2" t="s">
        <v>8</v>
      </c>
      <c r="B2" s="2" t="s">
        <v>65</v>
      </c>
      <c r="C2" s="2" t="s">
        <v>66</v>
      </c>
      <c r="D2" s="2" t="s">
        <v>67</v>
      </c>
      <c r="E2" s="2" t="s">
        <v>68</v>
      </c>
      <c r="F2" s="2" t="s">
        <v>69</v>
      </c>
      <c r="G2" s="2" t="s">
        <v>4</v>
      </c>
      <c r="H2" s="2" t="s">
        <v>70</v>
      </c>
    </row>
    <row r="3" spans="1:8" ht="75" x14ac:dyDescent="0.3">
      <c r="A3" s="2" t="s">
        <v>10</v>
      </c>
      <c r="B3" s="2" t="s">
        <v>71</v>
      </c>
      <c r="C3" s="2" t="s">
        <v>66</v>
      </c>
      <c r="D3" s="2" t="s">
        <v>72</v>
      </c>
      <c r="E3" s="2" t="s">
        <v>67</v>
      </c>
      <c r="F3" s="2" t="s">
        <v>69</v>
      </c>
      <c r="G3" s="2" t="s">
        <v>3</v>
      </c>
      <c r="H3" s="2" t="s">
        <v>73</v>
      </c>
    </row>
    <row r="4" spans="1:8" ht="60" x14ac:dyDescent="0.3">
      <c r="A4" s="2" t="s">
        <v>11</v>
      </c>
      <c r="B4" s="2" t="s">
        <v>74</v>
      </c>
      <c r="C4" s="2" t="s">
        <v>75</v>
      </c>
      <c r="D4" s="2" t="s">
        <v>76</v>
      </c>
      <c r="E4" s="2" t="s">
        <v>77</v>
      </c>
      <c r="F4" s="2" t="s">
        <v>9</v>
      </c>
      <c r="G4" s="2" t="s">
        <v>5</v>
      </c>
      <c r="H4" s="2" t="s">
        <v>78</v>
      </c>
    </row>
    <row r="5" spans="1:8" ht="45" x14ac:dyDescent="0.3">
      <c r="A5" s="2" t="s">
        <v>12</v>
      </c>
      <c r="B5" s="2" t="s">
        <v>79</v>
      </c>
      <c r="C5" s="2" t="s">
        <v>80</v>
      </c>
      <c r="D5" s="2" t="s">
        <v>81</v>
      </c>
      <c r="E5" s="2" t="s">
        <v>82</v>
      </c>
      <c r="F5" s="2" t="s">
        <v>83</v>
      </c>
      <c r="G5" s="2" t="s">
        <v>3</v>
      </c>
      <c r="H5" s="2" t="s">
        <v>84</v>
      </c>
    </row>
    <row r="6" spans="1:8" ht="60" x14ac:dyDescent="0.3">
      <c r="A6" s="2" t="s">
        <v>13</v>
      </c>
      <c r="B6" s="2" t="s">
        <v>85</v>
      </c>
      <c r="C6" s="2" t="s">
        <v>86</v>
      </c>
      <c r="D6" s="2" t="s">
        <v>87</v>
      </c>
      <c r="E6" s="2" t="s">
        <v>88</v>
      </c>
      <c r="F6" s="2" t="s">
        <v>9</v>
      </c>
      <c r="G6" s="2" t="s">
        <v>5</v>
      </c>
      <c r="H6" s="2" t="s">
        <v>89</v>
      </c>
    </row>
    <row r="7" spans="1:8" ht="75" x14ac:dyDescent="0.3">
      <c r="A7" s="2" t="s">
        <v>14</v>
      </c>
      <c r="B7" s="2" t="s">
        <v>90</v>
      </c>
      <c r="C7" s="2" t="s">
        <v>91</v>
      </c>
      <c r="D7" s="2" t="s">
        <v>92</v>
      </c>
      <c r="E7" s="2" t="s">
        <v>93</v>
      </c>
      <c r="F7" s="2" t="s">
        <v>94</v>
      </c>
      <c r="G7" s="2" t="s">
        <v>4</v>
      </c>
      <c r="H7" s="2" t="s">
        <v>285</v>
      </c>
    </row>
    <row r="8" spans="1:8" ht="75" x14ac:dyDescent="0.3">
      <c r="A8" s="2" t="s">
        <v>15</v>
      </c>
      <c r="B8" s="2" t="s">
        <v>95</v>
      </c>
      <c r="C8" s="2" t="s">
        <v>96</v>
      </c>
      <c r="D8" s="2" t="s">
        <v>91</v>
      </c>
      <c r="E8" s="2" t="s">
        <v>92</v>
      </c>
      <c r="F8" s="2" t="s">
        <v>94</v>
      </c>
      <c r="G8" s="2" t="s">
        <v>2</v>
      </c>
      <c r="H8" s="2" t="s">
        <v>97</v>
      </c>
    </row>
    <row r="9" spans="1:8" ht="30" x14ac:dyDescent="0.3">
      <c r="A9" s="2" t="s">
        <v>16</v>
      </c>
      <c r="B9" s="2" t="s">
        <v>98</v>
      </c>
      <c r="C9" s="2" t="s">
        <v>99</v>
      </c>
      <c r="D9" s="2" t="s">
        <v>100</v>
      </c>
      <c r="E9" s="2" t="s">
        <v>101</v>
      </c>
      <c r="F9" s="2" t="s">
        <v>102</v>
      </c>
      <c r="G9" s="2" t="s">
        <v>3</v>
      </c>
      <c r="H9" s="2" t="s">
        <v>103</v>
      </c>
    </row>
    <row r="10" spans="1:8" ht="75" x14ac:dyDescent="0.3">
      <c r="A10" s="2" t="s">
        <v>17</v>
      </c>
      <c r="B10" s="2" t="s">
        <v>104</v>
      </c>
      <c r="C10" s="2" t="s">
        <v>105</v>
      </c>
      <c r="D10" s="2" t="s">
        <v>106</v>
      </c>
      <c r="E10" s="2" t="s">
        <v>107</v>
      </c>
      <c r="F10" s="2" t="s">
        <v>9</v>
      </c>
      <c r="G10" s="2" t="s">
        <v>5</v>
      </c>
      <c r="H10" s="2" t="s">
        <v>108</v>
      </c>
    </row>
    <row r="11" spans="1:8" ht="45" x14ac:dyDescent="0.3">
      <c r="A11" s="2" t="s">
        <v>18</v>
      </c>
      <c r="B11" s="2" t="s">
        <v>109</v>
      </c>
      <c r="C11" s="2" t="s">
        <v>110</v>
      </c>
      <c r="D11" s="2" t="s">
        <v>111</v>
      </c>
      <c r="E11" s="2" t="s">
        <v>112</v>
      </c>
      <c r="F11" s="2" t="s">
        <v>113</v>
      </c>
      <c r="G11" s="2" t="s">
        <v>4</v>
      </c>
      <c r="H11" s="2" t="s">
        <v>114</v>
      </c>
    </row>
    <row r="12" spans="1:8" ht="45" x14ac:dyDescent="0.3">
      <c r="A12" s="2" t="s">
        <v>19</v>
      </c>
      <c r="B12" s="2" t="s">
        <v>115</v>
      </c>
      <c r="C12" s="2" t="s">
        <v>116</v>
      </c>
      <c r="D12" s="2" t="s">
        <v>117</v>
      </c>
      <c r="E12" s="2" t="s">
        <v>118</v>
      </c>
      <c r="F12" s="2" t="s">
        <v>119</v>
      </c>
      <c r="G12" s="2" t="s">
        <v>4</v>
      </c>
      <c r="H12" s="2" t="s">
        <v>120</v>
      </c>
    </row>
    <row r="13" spans="1:8" ht="60" x14ac:dyDescent="0.3">
      <c r="A13" s="2" t="s">
        <v>20</v>
      </c>
      <c r="B13" s="2" t="s">
        <v>121</v>
      </c>
      <c r="C13" s="2" t="s">
        <v>122</v>
      </c>
      <c r="D13" s="2" t="s">
        <v>123</v>
      </c>
      <c r="E13" s="2" t="s">
        <v>124</v>
      </c>
      <c r="F13" s="2" t="s">
        <v>125</v>
      </c>
      <c r="G13" s="2" t="s">
        <v>2</v>
      </c>
      <c r="H13" s="2" t="s">
        <v>126</v>
      </c>
    </row>
    <row r="14" spans="1:8" ht="45" x14ac:dyDescent="0.3">
      <c r="A14" s="2" t="s">
        <v>21</v>
      </c>
      <c r="B14" s="2" t="s">
        <v>127</v>
      </c>
      <c r="C14" s="2" t="s">
        <v>128</v>
      </c>
      <c r="D14" s="2" t="s">
        <v>129</v>
      </c>
      <c r="E14" s="2" t="s">
        <v>130</v>
      </c>
      <c r="F14" s="2" t="s">
        <v>9</v>
      </c>
      <c r="G14" s="2" t="s">
        <v>5</v>
      </c>
      <c r="H14" s="2" t="s">
        <v>131</v>
      </c>
    </row>
    <row r="15" spans="1:8" ht="45" x14ac:dyDescent="0.3">
      <c r="A15" s="2" t="s">
        <v>22</v>
      </c>
      <c r="B15" s="2" t="s">
        <v>132</v>
      </c>
      <c r="C15" s="2" t="s">
        <v>133</v>
      </c>
      <c r="D15" s="2" t="s">
        <v>100</v>
      </c>
      <c r="E15" s="2" t="s">
        <v>134</v>
      </c>
      <c r="F15" s="2" t="s">
        <v>9</v>
      </c>
      <c r="G15" s="2" t="s">
        <v>5</v>
      </c>
      <c r="H15" s="2" t="s">
        <v>135</v>
      </c>
    </row>
    <row r="16" spans="1:8" ht="45" x14ac:dyDescent="0.3">
      <c r="A16" s="2" t="s">
        <v>23</v>
      </c>
      <c r="B16" s="2" t="s">
        <v>136</v>
      </c>
      <c r="C16" s="2" t="s">
        <v>137</v>
      </c>
      <c r="D16" s="2" t="s">
        <v>138</v>
      </c>
      <c r="E16" s="2" t="s">
        <v>139</v>
      </c>
      <c r="F16" s="2" t="s">
        <v>9</v>
      </c>
      <c r="G16" s="2" t="s">
        <v>5</v>
      </c>
      <c r="H16" s="2" t="s">
        <v>140</v>
      </c>
    </row>
    <row r="17" spans="1:8" ht="45" x14ac:dyDescent="0.3">
      <c r="A17" s="2" t="s">
        <v>24</v>
      </c>
      <c r="B17" s="2" t="s">
        <v>141</v>
      </c>
      <c r="C17" s="2" t="s">
        <v>142</v>
      </c>
      <c r="D17" s="2" t="s">
        <v>143</v>
      </c>
      <c r="E17" s="2" t="s">
        <v>144</v>
      </c>
      <c r="F17" s="2" t="s">
        <v>9</v>
      </c>
      <c r="G17" s="2" t="s">
        <v>5</v>
      </c>
      <c r="H17" s="2" t="s">
        <v>145</v>
      </c>
    </row>
    <row r="18" spans="1:8" ht="45" x14ac:dyDescent="0.3">
      <c r="A18" s="2" t="s">
        <v>25</v>
      </c>
      <c r="B18" s="2" t="s">
        <v>146</v>
      </c>
      <c r="C18" s="2" t="s">
        <v>147</v>
      </c>
      <c r="D18" s="2" t="s">
        <v>148</v>
      </c>
      <c r="E18" s="2" t="s">
        <v>149</v>
      </c>
      <c r="F18" s="2" t="s">
        <v>9</v>
      </c>
      <c r="G18" s="2" t="s">
        <v>5</v>
      </c>
      <c r="H18" s="2" t="s">
        <v>150</v>
      </c>
    </row>
    <row r="19" spans="1:8" ht="45" x14ac:dyDescent="0.3">
      <c r="A19" s="2" t="s">
        <v>26</v>
      </c>
      <c r="B19" s="2" t="s">
        <v>151</v>
      </c>
      <c r="C19" s="2" t="s">
        <v>152</v>
      </c>
      <c r="D19" s="2" t="s">
        <v>153</v>
      </c>
      <c r="E19" s="2" t="s">
        <v>154</v>
      </c>
      <c r="F19" s="2" t="s">
        <v>27</v>
      </c>
      <c r="G19" s="2" t="s">
        <v>2</v>
      </c>
      <c r="H19" s="2" t="s">
        <v>155</v>
      </c>
    </row>
    <row r="20" spans="1:8" ht="45" x14ac:dyDescent="0.3">
      <c r="A20" s="2" t="s">
        <v>28</v>
      </c>
      <c r="B20" s="2" t="s">
        <v>156</v>
      </c>
      <c r="C20" s="2" t="s">
        <v>157</v>
      </c>
      <c r="D20" s="2" t="s">
        <v>158</v>
      </c>
      <c r="E20" s="2" t="s">
        <v>159</v>
      </c>
      <c r="F20" s="2" t="s">
        <v>160</v>
      </c>
      <c r="G20" s="2" t="s">
        <v>3</v>
      </c>
      <c r="H20" s="2" t="s">
        <v>161</v>
      </c>
    </row>
    <row r="21" spans="1:8" ht="60" x14ac:dyDescent="0.3">
      <c r="A21" s="2" t="s">
        <v>29</v>
      </c>
      <c r="B21" s="2" t="s">
        <v>162</v>
      </c>
      <c r="C21" s="2" t="s">
        <v>163</v>
      </c>
      <c r="D21" s="2" t="s">
        <v>164</v>
      </c>
      <c r="E21" s="2" t="s">
        <v>165</v>
      </c>
      <c r="F21" s="2" t="s">
        <v>9</v>
      </c>
      <c r="G21" s="2" t="s">
        <v>5</v>
      </c>
      <c r="H21" s="2" t="s">
        <v>166</v>
      </c>
    </row>
    <row r="22" spans="1:8" ht="45" x14ac:dyDescent="0.3">
      <c r="A22" s="2" t="s">
        <v>30</v>
      </c>
      <c r="B22" s="2" t="s">
        <v>167</v>
      </c>
      <c r="C22" s="2" t="s">
        <v>168</v>
      </c>
      <c r="D22" s="2" t="s">
        <v>169</v>
      </c>
      <c r="E22" s="2" t="s">
        <v>170</v>
      </c>
      <c r="F22" s="2" t="s">
        <v>171</v>
      </c>
      <c r="G22" s="2" t="s">
        <v>4</v>
      </c>
      <c r="H22" s="2" t="s">
        <v>172</v>
      </c>
    </row>
    <row r="23" spans="1:8" ht="30" x14ac:dyDescent="0.3">
      <c r="A23" s="2" t="s">
        <v>31</v>
      </c>
      <c r="B23" s="2" t="s">
        <v>173</v>
      </c>
      <c r="C23" s="2" t="s">
        <v>99</v>
      </c>
      <c r="D23" s="2" t="s">
        <v>174</v>
      </c>
      <c r="E23" s="2" t="s">
        <v>175</v>
      </c>
      <c r="F23" s="2" t="s">
        <v>176</v>
      </c>
      <c r="G23" s="2" t="s">
        <v>2</v>
      </c>
      <c r="H23" s="2" t="s">
        <v>177</v>
      </c>
    </row>
    <row r="24" spans="1:8" ht="75" x14ac:dyDescent="0.3">
      <c r="A24" s="2" t="s">
        <v>32</v>
      </c>
      <c r="B24" s="2" t="s">
        <v>178</v>
      </c>
      <c r="C24" s="2" t="s">
        <v>179</v>
      </c>
      <c r="D24" s="2" t="s">
        <v>180</v>
      </c>
      <c r="E24" s="2" t="s">
        <v>181</v>
      </c>
      <c r="F24" s="2" t="s">
        <v>9</v>
      </c>
      <c r="G24" s="2" t="s">
        <v>5</v>
      </c>
      <c r="H24" s="2" t="s">
        <v>182</v>
      </c>
    </row>
    <row r="25" spans="1:8" ht="45" x14ac:dyDescent="0.3">
      <c r="A25" s="2" t="s">
        <v>33</v>
      </c>
      <c r="B25" s="2" t="s">
        <v>183</v>
      </c>
      <c r="C25" s="2" t="s">
        <v>184</v>
      </c>
      <c r="D25" s="2" t="s">
        <v>185</v>
      </c>
      <c r="E25" s="2" t="s">
        <v>186</v>
      </c>
      <c r="F25" s="2" t="s">
        <v>9</v>
      </c>
      <c r="G25" s="2" t="s">
        <v>5</v>
      </c>
      <c r="H25" s="2" t="s">
        <v>187</v>
      </c>
    </row>
    <row r="26" spans="1:8" ht="45" x14ac:dyDescent="0.3">
      <c r="A26" s="2" t="s">
        <v>34</v>
      </c>
      <c r="B26" s="2" t="s">
        <v>188</v>
      </c>
      <c r="C26" s="2" t="s">
        <v>189</v>
      </c>
      <c r="D26" s="2" t="s">
        <v>190</v>
      </c>
      <c r="E26" s="2" t="s">
        <v>191</v>
      </c>
      <c r="F26" s="2" t="s">
        <v>192</v>
      </c>
      <c r="G26" s="2" t="s">
        <v>3</v>
      </c>
      <c r="H26" s="2" t="s">
        <v>193</v>
      </c>
    </row>
    <row r="27" spans="1:8" ht="45" x14ac:dyDescent="0.3">
      <c r="A27" s="2" t="s">
        <v>35</v>
      </c>
      <c r="B27" s="2" t="s">
        <v>194</v>
      </c>
      <c r="C27" s="2" t="s">
        <v>176</v>
      </c>
      <c r="D27" s="2" t="s">
        <v>175</v>
      </c>
      <c r="E27" s="2" t="s">
        <v>101</v>
      </c>
      <c r="F27" s="2" t="s">
        <v>174</v>
      </c>
      <c r="G27" s="2" t="s">
        <v>4</v>
      </c>
      <c r="H27" s="2" t="s">
        <v>195</v>
      </c>
    </row>
    <row r="28" spans="1:8" s="8" customFormat="1" ht="90" x14ac:dyDescent="0.3">
      <c r="A28" s="9" t="s">
        <v>36</v>
      </c>
      <c r="B28" s="9" t="s">
        <v>196</v>
      </c>
      <c r="C28" s="9" t="s">
        <v>197</v>
      </c>
      <c r="D28" s="9" t="s">
        <v>198</v>
      </c>
      <c r="E28" s="9" t="s">
        <v>174</v>
      </c>
      <c r="F28" s="9" t="s">
        <v>175</v>
      </c>
      <c r="G28" s="9" t="s">
        <v>199</v>
      </c>
      <c r="H28" s="9" t="s">
        <v>286</v>
      </c>
    </row>
    <row r="29" spans="1:8" ht="45" x14ac:dyDescent="0.3">
      <c r="A29" s="2" t="s">
        <v>37</v>
      </c>
      <c r="B29" s="2" t="s">
        <v>200</v>
      </c>
      <c r="C29" s="2" t="s">
        <v>201</v>
      </c>
      <c r="D29" s="2" t="s">
        <v>202</v>
      </c>
      <c r="E29" s="2" t="s">
        <v>203</v>
      </c>
      <c r="F29" s="2" t="s">
        <v>204</v>
      </c>
      <c r="G29" s="2" t="s">
        <v>4</v>
      </c>
      <c r="H29" s="2" t="s">
        <v>205</v>
      </c>
    </row>
    <row r="30" spans="1:8" ht="45" x14ac:dyDescent="0.3">
      <c r="A30" s="2" t="s">
        <v>38</v>
      </c>
      <c r="B30" s="2" t="s">
        <v>206</v>
      </c>
      <c r="C30" s="2" t="s">
        <v>207</v>
      </c>
      <c r="D30" s="2" t="s">
        <v>208</v>
      </c>
      <c r="E30" s="2" t="s">
        <v>209</v>
      </c>
      <c r="F30" s="2" t="s">
        <v>9</v>
      </c>
      <c r="G30" s="2" t="s">
        <v>5</v>
      </c>
      <c r="H30" s="2" t="s">
        <v>210</v>
      </c>
    </row>
    <row r="31" spans="1:8" ht="75" x14ac:dyDescent="0.3">
      <c r="A31" s="2" t="s">
        <v>39</v>
      </c>
      <c r="B31" s="2" t="s">
        <v>211</v>
      </c>
      <c r="C31" s="2" t="s">
        <v>212</v>
      </c>
      <c r="D31" s="2" t="s">
        <v>213</v>
      </c>
      <c r="E31" s="2" t="s">
        <v>214</v>
      </c>
      <c r="F31" s="2" t="s">
        <v>9</v>
      </c>
      <c r="G31" s="2" t="s">
        <v>5</v>
      </c>
      <c r="H31" s="2" t="s">
        <v>215</v>
      </c>
    </row>
    <row r="32" spans="1:8" ht="45" x14ac:dyDescent="0.3">
      <c r="A32" s="2" t="s">
        <v>40</v>
      </c>
      <c r="B32" s="2" t="s">
        <v>216</v>
      </c>
      <c r="C32" s="2" t="s">
        <v>217</v>
      </c>
      <c r="D32" s="2" t="s">
        <v>218</v>
      </c>
      <c r="E32" s="2" t="s">
        <v>219</v>
      </c>
      <c r="F32" s="2" t="s">
        <v>220</v>
      </c>
      <c r="G32" s="2" t="s">
        <v>2</v>
      </c>
      <c r="H32" s="2" t="s">
        <v>221</v>
      </c>
    </row>
    <row r="33" spans="1:8" ht="75" x14ac:dyDescent="0.3">
      <c r="A33" s="2" t="s">
        <v>41</v>
      </c>
      <c r="B33" s="2" t="s">
        <v>222</v>
      </c>
      <c r="C33" s="2" t="s">
        <v>223</v>
      </c>
      <c r="D33" s="2" t="s">
        <v>224</v>
      </c>
      <c r="E33" s="2" t="s">
        <v>225</v>
      </c>
      <c r="F33" s="2" t="s">
        <v>226</v>
      </c>
      <c r="G33" s="2" t="s">
        <v>3</v>
      </c>
      <c r="H33" s="2" t="s">
        <v>227</v>
      </c>
    </row>
    <row r="34" spans="1:8" ht="45" x14ac:dyDescent="0.3">
      <c r="A34" s="2" t="s">
        <v>42</v>
      </c>
      <c r="B34" s="2" t="s">
        <v>228</v>
      </c>
      <c r="C34" s="2" t="s">
        <v>229</v>
      </c>
      <c r="D34" s="2" t="s">
        <v>230</v>
      </c>
      <c r="E34" s="2" t="s">
        <v>231</v>
      </c>
      <c r="F34" s="2" t="s">
        <v>9</v>
      </c>
      <c r="G34" s="2" t="s">
        <v>5</v>
      </c>
      <c r="H34" s="2" t="s">
        <v>232</v>
      </c>
    </row>
    <row r="35" spans="1:8" ht="60" x14ac:dyDescent="0.3">
      <c r="A35" s="2" t="s">
        <v>43</v>
      </c>
      <c r="B35" s="2" t="s">
        <v>233</v>
      </c>
      <c r="C35" s="2" t="s">
        <v>234</v>
      </c>
      <c r="D35" s="2" t="s">
        <v>235</v>
      </c>
      <c r="E35" s="2" t="s">
        <v>236</v>
      </c>
      <c r="F35" s="2" t="s">
        <v>237</v>
      </c>
      <c r="G35" s="2" t="s">
        <v>2</v>
      </c>
      <c r="H35" s="2" t="s">
        <v>238</v>
      </c>
    </row>
    <row r="36" spans="1:8" ht="75" x14ac:dyDescent="0.3">
      <c r="A36" s="2" t="s">
        <v>44</v>
      </c>
      <c r="B36" s="2" t="s">
        <v>239</v>
      </c>
      <c r="C36" s="2" t="s">
        <v>240</v>
      </c>
      <c r="D36" s="2" t="s">
        <v>241</v>
      </c>
      <c r="E36" s="2" t="s">
        <v>242</v>
      </c>
      <c r="F36" s="2" t="s">
        <v>9</v>
      </c>
      <c r="G36" s="2" t="s">
        <v>4</v>
      </c>
      <c r="H36" s="2" t="s">
        <v>243</v>
      </c>
    </row>
    <row r="37" spans="1:8" ht="45" x14ac:dyDescent="0.3">
      <c r="A37" s="2" t="s">
        <v>45</v>
      </c>
      <c r="B37" s="2" t="s">
        <v>244</v>
      </c>
      <c r="C37" s="2" t="s">
        <v>245</v>
      </c>
      <c r="D37" s="2" t="s">
        <v>246</v>
      </c>
      <c r="E37" s="2" t="s">
        <v>247</v>
      </c>
      <c r="F37" s="2" t="s">
        <v>9</v>
      </c>
      <c r="G37" s="2" t="s">
        <v>5</v>
      </c>
      <c r="H37" s="2" t="s">
        <v>248</v>
      </c>
    </row>
    <row r="38" spans="1:8" ht="45" x14ac:dyDescent="0.3">
      <c r="A38" s="2" t="s">
        <v>46</v>
      </c>
      <c r="B38" s="2" t="s">
        <v>249</v>
      </c>
      <c r="C38" s="2" t="s">
        <v>250</v>
      </c>
      <c r="D38" s="2" t="s">
        <v>251</v>
      </c>
      <c r="E38" s="2" t="s">
        <v>252</v>
      </c>
      <c r="F38" s="2" t="s">
        <v>9</v>
      </c>
      <c r="G38" s="2" t="s">
        <v>5</v>
      </c>
      <c r="H38" s="2" t="s">
        <v>253</v>
      </c>
    </row>
    <row r="39" spans="1:8" ht="90" x14ac:dyDescent="0.3">
      <c r="A39" s="2" t="s">
        <v>47</v>
      </c>
      <c r="B39" s="2" t="s">
        <v>254</v>
      </c>
      <c r="C39" s="2" t="s">
        <v>255</v>
      </c>
      <c r="D39" s="2" t="s">
        <v>256</v>
      </c>
      <c r="E39" s="2" t="s">
        <v>257</v>
      </c>
      <c r="F39" s="2" t="s">
        <v>9</v>
      </c>
      <c r="G39" s="2" t="s">
        <v>5</v>
      </c>
      <c r="H39" s="2" t="s">
        <v>287</v>
      </c>
    </row>
    <row r="40" spans="1:8" s="8" customFormat="1" ht="225" x14ac:dyDescent="0.3">
      <c r="A40" s="9" t="s">
        <v>48</v>
      </c>
      <c r="B40" s="9" t="s">
        <v>258</v>
      </c>
      <c r="C40" s="9" t="s">
        <v>259</v>
      </c>
      <c r="D40" s="9" t="s">
        <v>260</v>
      </c>
      <c r="E40" s="9" t="s">
        <v>261</v>
      </c>
      <c r="F40" s="9" t="s">
        <v>9</v>
      </c>
      <c r="G40" s="9" t="s">
        <v>2</v>
      </c>
      <c r="H40" s="9" t="s">
        <v>288</v>
      </c>
    </row>
    <row r="41" spans="1:8" ht="45" x14ac:dyDescent="0.3">
      <c r="A41" s="2" t="s">
        <v>49</v>
      </c>
      <c r="B41" s="2" t="s">
        <v>262</v>
      </c>
      <c r="C41" s="2" t="s">
        <v>263</v>
      </c>
      <c r="D41" s="2" t="s">
        <v>264</v>
      </c>
      <c r="E41" s="2" t="s">
        <v>265</v>
      </c>
      <c r="F41" s="2" t="s">
        <v>9</v>
      </c>
      <c r="G41" s="2" t="s">
        <v>5</v>
      </c>
      <c r="H41" s="2" t="s">
        <v>266</v>
      </c>
    </row>
    <row r="42" spans="1:8" ht="45" x14ac:dyDescent="0.3">
      <c r="A42" s="2" t="s">
        <v>50</v>
      </c>
      <c r="B42" s="2" t="s">
        <v>267</v>
      </c>
      <c r="C42" s="2" t="s">
        <v>268</v>
      </c>
      <c r="D42" s="2" t="s">
        <v>61</v>
      </c>
      <c r="E42" s="2" t="s">
        <v>62</v>
      </c>
      <c r="F42" s="2" t="s">
        <v>269</v>
      </c>
      <c r="G42" s="2" t="s">
        <v>3</v>
      </c>
      <c r="H42" s="2" t="s">
        <v>270</v>
      </c>
    </row>
    <row r="43" spans="1:8" ht="60" x14ac:dyDescent="0.3">
      <c r="A43" s="2" t="s">
        <v>51</v>
      </c>
      <c r="B43" s="2" t="s">
        <v>271</v>
      </c>
      <c r="C43" s="2" t="s">
        <v>272</v>
      </c>
      <c r="D43" s="2" t="s">
        <v>273</v>
      </c>
      <c r="E43" s="2" t="s">
        <v>274</v>
      </c>
      <c r="F43" s="2" t="s">
        <v>275</v>
      </c>
      <c r="G43" s="2" t="s">
        <v>2</v>
      </c>
      <c r="H43" s="2" t="s">
        <v>276</v>
      </c>
    </row>
    <row r="44" spans="1:8" ht="60" x14ac:dyDescent="0.3">
      <c r="A44" s="2" t="s">
        <v>52</v>
      </c>
      <c r="B44" s="2" t="s">
        <v>277</v>
      </c>
      <c r="C44" s="2" t="s">
        <v>278</v>
      </c>
      <c r="D44" s="2" t="s">
        <v>279</v>
      </c>
      <c r="E44" s="2" t="s">
        <v>280</v>
      </c>
      <c r="F44" s="2" t="s">
        <v>9</v>
      </c>
      <c r="G44" s="2" t="s">
        <v>5</v>
      </c>
      <c r="H44" s="2" t="s">
        <v>281</v>
      </c>
    </row>
  </sheetData>
  <autoFilter ref="A1:H92"/>
  <phoneticPr fontId="1" type="noConversion"/>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64"/>
  <sheetViews>
    <sheetView tabSelected="1" workbookViewId="0">
      <selection activeCell="C1" sqref="C1:C1048576"/>
    </sheetView>
  </sheetViews>
  <sheetFormatPr defaultColWidth="9" defaultRowHeight="15" x14ac:dyDescent="0.3"/>
  <cols>
    <col min="1" max="1" width="4.25" style="6" customWidth="1"/>
    <col min="2" max="3" width="47.625" style="6" customWidth="1"/>
    <col min="4" max="7" width="12.75" style="6" customWidth="1"/>
    <col min="8" max="8" width="6.125" style="6" customWidth="1"/>
    <col min="9" max="9" width="80" style="6" customWidth="1"/>
    <col min="10" max="16384" width="9" style="6"/>
  </cols>
  <sheetData>
    <row r="1" spans="1:9" ht="30" x14ac:dyDescent="0.3">
      <c r="A1" s="5" t="s">
        <v>0</v>
      </c>
      <c r="B1" s="5" t="s">
        <v>1</v>
      </c>
      <c r="C1" s="5" t="s">
        <v>282</v>
      </c>
      <c r="D1" s="5" t="s">
        <v>2</v>
      </c>
      <c r="E1" s="5" t="s">
        <v>3</v>
      </c>
      <c r="F1" s="5" t="s">
        <v>4</v>
      </c>
      <c r="G1" s="5" t="s">
        <v>5</v>
      </c>
      <c r="H1" s="5" t="s">
        <v>6</v>
      </c>
      <c r="I1" s="5" t="s">
        <v>7</v>
      </c>
    </row>
    <row r="2" spans="1:9" x14ac:dyDescent="0.3">
      <c r="A2" s="5"/>
      <c r="B2" s="5"/>
      <c r="C2" s="5" t="s">
        <v>284</v>
      </c>
      <c r="D2" s="5"/>
      <c r="E2" s="5"/>
      <c r="F2" s="5"/>
      <c r="G2" s="5"/>
      <c r="H2" s="5"/>
      <c r="I2" s="5"/>
    </row>
    <row r="3" spans="1:9" x14ac:dyDescent="0.3">
      <c r="A3" s="5"/>
      <c r="B3" s="5"/>
      <c r="C3" s="5" t="s">
        <v>283</v>
      </c>
      <c r="D3" s="5"/>
      <c r="E3" s="5"/>
      <c r="F3" s="5"/>
      <c r="G3" s="5"/>
      <c r="H3" s="5"/>
      <c r="I3" s="5"/>
    </row>
    <row r="4" spans="1:9" ht="5.4" customHeight="1" x14ac:dyDescent="0.3">
      <c r="A4" s="5"/>
      <c r="B4" s="5"/>
      <c r="C4" s="5"/>
      <c r="D4" s="5"/>
      <c r="E4" s="5"/>
      <c r="F4" s="5"/>
      <c r="G4" s="5"/>
      <c r="H4" s="5"/>
      <c r="I4" s="5"/>
    </row>
    <row r="5" spans="1:9" s="3" customFormat="1" ht="45" x14ac:dyDescent="0.3">
      <c r="A5" s="4" t="str">
        <f>dB題庫!A2</f>
        <v>1</v>
      </c>
      <c r="B5" s="4" t="str">
        <f>dB題庫!B2</f>
        <v>遙控無人機操作人在執行任務前及過程中,需確保參與執行的成員不受下列哪種狀況的影響</v>
      </c>
      <c r="C5" s="4" t="str">
        <f>A5&amp;"."&amp;B5</f>
        <v>1.遙控無人機操作人在執行任務前及過程中,需確保參與執行的成員不受下列哪種狀況的影響</v>
      </c>
      <c r="D5" s="4" t="str">
        <f>dB題庫!C2</f>
        <v>娛樂圈八卦和謠言。</v>
      </c>
      <c r="E5" s="4" t="str">
        <f>dB題庫!D2</f>
        <v>國內股市行情。</v>
      </c>
      <c r="F5" s="4" t="str">
        <f>dB題庫!E2</f>
        <v>酒精及藥物。</v>
      </c>
      <c r="G5" s="4" t="str">
        <f>dB題庫!F2</f>
        <v>世界經濟發展情勢。</v>
      </c>
      <c r="H5" s="4" t="str">
        <f>dB題庫!G2</f>
        <v>C</v>
      </c>
      <c r="I5" s="4" t="str">
        <f>dB題庫!H2</f>
        <v>為了維護飛航安全，所有參與遙控無人機操作的成員（包含操作人、觀察員等），在任務前與任務期間，生理與心理狀態皆必須保持清醒與正常，絕不能受到酒精、毒品或任何會減損判斷力的藥物影響。</v>
      </c>
    </row>
    <row r="6" spans="1:9" s="3" customFormat="1" x14ac:dyDescent="0.3">
      <c r="A6" s="2"/>
      <c r="B6" s="1"/>
      <c r="C6" s="7" t="str">
        <f>"(A.)"&amp;D5</f>
        <v>(A.)娛樂圈八卦和謠言。</v>
      </c>
      <c r="D6" s="2"/>
      <c r="E6" s="2"/>
      <c r="F6" s="2"/>
      <c r="G6" s="2"/>
      <c r="H6" s="2"/>
      <c r="I6" s="2"/>
    </row>
    <row r="7" spans="1:9" s="3" customFormat="1" x14ac:dyDescent="0.3">
      <c r="A7" s="2"/>
      <c r="B7" s="1"/>
      <c r="C7" s="7" t="str">
        <f>"(B.)"&amp;E5</f>
        <v>(B.)國內股市行情。</v>
      </c>
      <c r="D7" s="2"/>
      <c r="E7" s="2"/>
      <c r="F7" s="2"/>
      <c r="G7" s="2"/>
      <c r="H7" s="2"/>
      <c r="I7" s="2"/>
    </row>
    <row r="8" spans="1:9" s="3" customFormat="1" x14ac:dyDescent="0.3">
      <c r="A8" s="2"/>
      <c r="B8" s="2"/>
      <c r="C8" s="7" t="str">
        <f>"(C.)"&amp;F5</f>
        <v>(C.)酒精及藥物。</v>
      </c>
      <c r="D8" s="2"/>
      <c r="E8" s="2"/>
      <c r="F8" s="2"/>
      <c r="G8" s="2"/>
      <c r="H8" s="2"/>
      <c r="I8" s="2"/>
    </row>
    <row r="9" spans="1:9" s="3" customFormat="1" x14ac:dyDescent="0.3">
      <c r="A9" s="2"/>
      <c r="B9" s="2"/>
      <c r="C9" s="7" t="str">
        <f>"(D.)"&amp;G5</f>
        <v>(D.)世界經濟發展情勢。</v>
      </c>
      <c r="D9" s="2"/>
      <c r="E9" s="2"/>
      <c r="F9" s="2"/>
      <c r="G9" s="2"/>
      <c r="H9" s="2"/>
      <c r="I9" s="2"/>
    </row>
    <row r="10" spans="1:9" s="3" customFormat="1" x14ac:dyDescent="0.3">
      <c r="A10" s="2"/>
      <c r="B10" s="2"/>
      <c r="C10" s="7" t="str">
        <f>"答案是： "&amp;IF(H5="A",C6,IF(H5="B",C7,IF(H5="C",C8,IF(H5=("D"),C9,"XXXX"))))</f>
        <v>答案是： (C.)酒精及藥物。</v>
      </c>
      <c r="D10" s="2"/>
      <c r="E10" s="2"/>
      <c r="F10" s="2"/>
      <c r="G10" s="2"/>
      <c r="H10" s="2"/>
      <c r="I10" s="2"/>
    </row>
    <row r="11" spans="1:9" s="3" customFormat="1" ht="75" x14ac:dyDescent="0.3">
      <c r="A11" s="2"/>
      <c r="B11" s="2"/>
      <c r="C11" s="7" t="str">
        <f>"說明："&amp;I5</f>
        <v>說明：為了維護飛航安全，所有參與遙控無人機操作的成員（包含操作人、觀察員等），在任務前與任務期間，生理與心理狀態皆必須保持清醒與正常，絕不能受到酒精、毒品或任何會減損判斷力的藥物影響。</v>
      </c>
      <c r="D11" s="2"/>
      <c r="E11" s="2"/>
      <c r="F11" s="2"/>
      <c r="G11" s="2"/>
      <c r="H11" s="2"/>
      <c r="I11" s="2"/>
    </row>
    <row r="12" spans="1:9" s="3" customFormat="1" ht="60" x14ac:dyDescent="0.3">
      <c r="A12" s="4" t="str">
        <f>dB題庫!A3</f>
        <v>2</v>
      </c>
      <c r="B12" s="4" t="str">
        <f>dB題庫!B3</f>
        <v>遙控無人機操作人在執行任務前及過程中,下列哪種狀況也可能影響操作安全</v>
      </c>
      <c r="C12" s="4" t="str">
        <f>A12&amp;"."&amp;B12</f>
        <v>2.遙控無人機操作人在執行任務前及過程中,下列哪種狀況也可能影響操作安全</v>
      </c>
      <c r="D12" s="4" t="str">
        <f>dB題庫!C3</f>
        <v>娛樂圈八卦和謠言。</v>
      </c>
      <c r="E12" s="4" t="str">
        <f>dB題庫!D3</f>
        <v>一般的成藥如抗組織胺或解除充血劑。</v>
      </c>
      <c r="F12" s="4" t="str">
        <f>dB題庫!E3</f>
        <v>國內股市行情。</v>
      </c>
      <c r="G12" s="4" t="str">
        <f>dB題庫!F3</f>
        <v>世界經濟發展情勢。</v>
      </c>
      <c r="H12" s="4" t="str">
        <f>dB題庫!G3</f>
        <v>B</v>
      </c>
      <c r="I12" s="4" t="str">
        <f>dB題庫!H3</f>
        <v>市面上常見的感冒藥或抗過敏藥（如抗組織胺、解除充血劑），常伴隨嗜睡、頭暈、注意力不集中或反應遲鈍等副作用，這些皆會實質影響操作人在飛行時的即時反應與決策安全。</v>
      </c>
    </row>
    <row r="13" spans="1:9" s="3" customFormat="1" x14ac:dyDescent="0.3">
      <c r="A13" s="2"/>
      <c r="B13" s="1"/>
      <c r="C13" s="7" t="str">
        <f>"(A.)"&amp;D12</f>
        <v>(A.)娛樂圈八卦和謠言。</v>
      </c>
      <c r="D13" s="2"/>
      <c r="E13" s="2"/>
      <c r="F13" s="2"/>
      <c r="G13" s="2"/>
      <c r="H13" s="2"/>
      <c r="I13" s="2"/>
    </row>
    <row r="14" spans="1:9" s="3" customFormat="1" x14ac:dyDescent="0.3">
      <c r="A14" s="2"/>
      <c r="B14" s="1"/>
      <c r="C14" s="7" t="str">
        <f>"(B.)"&amp;E12</f>
        <v>(B.)一般的成藥如抗組織胺或解除充血劑。</v>
      </c>
      <c r="D14" s="2"/>
      <c r="E14" s="2"/>
      <c r="F14" s="2"/>
      <c r="G14" s="2"/>
      <c r="H14" s="2"/>
      <c r="I14" s="2"/>
    </row>
    <row r="15" spans="1:9" s="3" customFormat="1" x14ac:dyDescent="0.3">
      <c r="A15" s="2"/>
      <c r="B15" s="2"/>
      <c r="C15" s="7" t="str">
        <f>"(C.)"&amp;F12</f>
        <v>(C.)國內股市行情。</v>
      </c>
      <c r="D15" s="2"/>
      <c r="E15" s="2"/>
      <c r="F15" s="2"/>
      <c r="G15" s="2"/>
      <c r="H15" s="2"/>
      <c r="I15" s="2"/>
    </row>
    <row r="16" spans="1:9" s="3" customFormat="1" x14ac:dyDescent="0.3">
      <c r="A16" s="2"/>
      <c r="B16" s="2"/>
      <c r="C16" s="7" t="str">
        <f>"(D.)"&amp;G12</f>
        <v>(D.)世界經濟發展情勢。</v>
      </c>
      <c r="D16" s="2"/>
      <c r="E16" s="2"/>
      <c r="F16" s="2"/>
      <c r="G16" s="2"/>
      <c r="H16" s="2"/>
      <c r="I16" s="2"/>
    </row>
    <row r="17" spans="1:9" s="3" customFormat="1" ht="30" x14ac:dyDescent="0.3">
      <c r="A17" s="2"/>
      <c r="B17" s="2"/>
      <c r="C17" s="7" t="str">
        <f>"答案是： "&amp;IF(H12="A",C13,IF(H12="B",C14,IF(H12="C",C15,IF(H12=("D"),C16,"XXXX"))))</f>
        <v>答案是： (B.)一般的成藥如抗組織胺或解除充血劑。</v>
      </c>
      <c r="D17" s="2"/>
      <c r="E17" s="2"/>
      <c r="F17" s="2"/>
      <c r="G17" s="2"/>
      <c r="H17" s="2"/>
      <c r="I17" s="2"/>
    </row>
    <row r="18" spans="1:9" s="3" customFormat="1" ht="75" x14ac:dyDescent="0.3">
      <c r="A18" s="2"/>
      <c r="B18" s="2"/>
      <c r="C18" s="7" t="str">
        <f>"說明："&amp;I12</f>
        <v>說明：市面上常見的感冒藥或抗過敏藥（如抗組織胺、解除充血劑），常伴隨嗜睡、頭暈、注意力不集中或反應遲鈍等副作用，這些皆會實質影響操作人在飛行時的即時反應與決策安全。</v>
      </c>
      <c r="D18" s="2"/>
      <c r="E18" s="2"/>
      <c r="F18" s="2"/>
      <c r="G18" s="2"/>
      <c r="H18" s="2"/>
      <c r="I18" s="2"/>
    </row>
    <row r="19" spans="1:9" s="3" customFormat="1" ht="45" x14ac:dyDescent="0.3">
      <c r="A19" s="4" t="str">
        <f>dB題庫!A4</f>
        <v>3</v>
      </c>
      <c r="B19" s="4" t="str">
        <f>dB題庫!B4</f>
        <v>有關可能影響操作人安全操作遙控無人機的因素主要有下列哪種狀況</v>
      </c>
      <c r="C19" s="4" t="str">
        <f t="shared" ref="C19:C33" si="0">A19&amp;"."&amp;B19</f>
        <v>3.有關可能影響操作人安全操作遙控無人機的因素主要有下列哪種狀況</v>
      </c>
      <c r="D19" s="4" t="str">
        <f>dB題庫!C4</f>
        <v>過度換氣、壓力、疲勞。</v>
      </c>
      <c r="E19" s="4" t="str">
        <f>dB題庫!D4</f>
        <v>脫水、熱中暑。</v>
      </c>
      <c r="F19" s="4" t="str">
        <f>dB題庫!E4</f>
        <v>酒精與藥物。</v>
      </c>
      <c r="G19" s="4" t="str">
        <f>dB題庫!F4</f>
        <v>以上皆是。</v>
      </c>
      <c r="H19" s="4" t="str">
        <f>dB題庫!G4</f>
        <v>D</v>
      </c>
      <c r="I19" s="4" t="str">
        <f>dB題庫!H4</f>
        <v>影響生理與心理判斷力的人為因素非常廣泛，包含過度換氣、心理壓力、身體疲勞、環境造成的脫水與熱中暑，以及外來的酒精與藥物，上述狀況皆會嚴重危及無人機的操作安全。</v>
      </c>
    </row>
    <row r="20" spans="1:9" s="3" customFormat="1" x14ac:dyDescent="0.3">
      <c r="A20" s="2"/>
      <c r="B20" s="1"/>
      <c r="C20" s="7" t="str">
        <f>"(A.)"&amp;D19</f>
        <v>(A.)過度換氣、壓力、疲勞。</v>
      </c>
      <c r="D20" s="2"/>
      <c r="E20" s="2"/>
      <c r="F20" s="2"/>
      <c r="G20" s="2"/>
      <c r="H20" s="2"/>
      <c r="I20" s="2"/>
    </row>
    <row r="21" spans="1:9" s="3" customFormat="1" x14ac:dyDescent="0.3">
      <c r="A21" s="2"/>
      <c r="B21" s="1"/>
      <c r="C21" s="7" t="str">
        <f>"(B.)"&amp;E19</f>
        <v>(B.)脫水、熱中暑。</v>
      </c>
      <c r="D21" s="2"/>
      <c r="E21" s="2"/>
      <c r="F21" s="2"/>
      <c r="G21" s="2"/>
      <c r="H21" s="2"/>
      <c r="I21" s="2"/>
    </row>
    <row r="22" spans="1:9" s="3" customFormat="1" x14ac:dyDescent="0.3">
      <c r="A22" s="2"/>
      <c r="B22" s="2"/>
      <c r="C22" s="7" t="str">
        <f>"(C.)"&amp;F19</f>
        <v>(C.)酒精與藥物。</v>
      </c>
      <c r="D22" s="2"/>
      <c r="E22" s="2"/>
      <c r="F22" s="2"/>
      <c r="G22" s="2"/>
      <c r="H22" s="2"/>
      <c r="I22" s="2"/>
    </row>
    <row r="23" spans="1:9" s="3" customFormat="1" x14ac:dyDescent="0.3">
      <c r="A23" s="2"/>
      <c r="B23" s="2"/>
      <c r="C23" s="7" t="str">
        <f>"(D.)"&amp;G19</f>
        <v>(D.)以上皆是。</v>
      </c>
      <c r="D23" s="2"/>
      <c r="E23" s="2"/>
      <c r="F23" s="2"/>
      <c r="G23" s="2"/>
      <c r="H23" s="2"/>
      <c r="I23" s="2"/>
    </row>
    <row r="24" spans="1:9" s="3" customFormat="1" x14ac:dyDescent="0.3">
      <c r="A24" s="2"/>
      <c r="B24" s="2"/>
      <c r="C24" s="7" t="str">
        <f>"答案是： "&amp;IF(H19="A",C20,IF(H19="B",C21,IF(H19="C",C22,IF(H19=("D"),C23,"XXXX"))))</f>
        <v>答案是： (D.)以上皆是。</v>
      </c>
      <c r="D24" s="2"/>
      <c r="E24" s="2"/>
      <c r="F24" s="2"/>
      <c r="G24" s="2"/>
      <c r="H24" s="2"/>
      <c r="I24" s="2"/>
    </row>
    <row r="25" spans="1:9" s="3" customFormat="1" ht="75" x14ac:dyDescent="0.3">
      <c r="A25" s="2"/>
      <c r="B25" s="2"/>
      <c r="C25" s="7" t="str">
        <f>"說明："&amp;I19</f>
        <v>說明：影響生理與心理判斷力的人為因素非常廣泛，包含過度換氣、心理壓力、身體疲勞、環境造成的脫水與熱中暑，以及外來的酒精與藥物，上述狀況皆會嚴重危及無人機的操作安全。</v>
      </c>
      <c r="D25" s="2"/>
      <c r="E25" s="2"/>
      <c r="F25" s="2"/>
      <c r="G25" s="2"/>
      <c r="H25" s="2"/>
      <c r="I25" s="2"/>
    </row>
    <row r="26" spans="1:9" s="3" customFormat="1" ht="45" x14ac:dyDescent="0.3">
      <c r="A26" s="4" t="str">
        <f>dB題庫!A5</f>
        <v>4</v>
      </c>
      <c r="B26" s="4" t="str">
        <f>dB題庫!B5</f>
        <v>過度換氣若無法善加控制,可能讓遙控無人機操作人進入下列哪個狀態</v>
      </c>
      <c r="C26" s="4" t="str">
        <f t="shared" si="0"/>
        <v>4.過度換氣若無法善加控制,可能讓遙控無人機操作人進入下列哪個狀態</v>
      </c>
      <c r="D26" s="4" t="str">
        <f>dB題庫!C5</f>
        <v>神經緊張。</v>
      </c>
      <c r="E26" s="4" t="str">
        <f>dB題庫!D5</f>
        <v>意識不清。</v>
      </c>
      <c r="F26" s="4" t="str">
        <f>dB題庫!E5</f>
        <v>心情鬱悶。</v>
      </c>
      <c r="G26" s="4" t="str">
        <f>dB題庫!F5</f>
        <v>懷疑心重。</v>
      </c>
      <c r="H26" s="4" t="str">
        <f>dB題庫!G5</f>
        <v>B</v>
      </c>
      <c r="I26" s="4" t="str">
        <f>dB題庫!H5</f>
        <v>過度換氣（Hyperventilation）會導致體內二氧化碳濃度過低。若無法及時控制，會引發頭暈、視覺窄化，嚴重時甚至會導致意識不清或昏厥，使無人機處於無人控制的極度危險狀態。</v>
      </c>
    </row>
    <row r="27" spans="1:9" s="3" customFormat="1" x14ac:dyDescent="0.3">
      <c r="A27" s="2"/>
      <c r="B27" s="1"/>
      <c r="C27" s="7" t="str">
        <f>"(A.)"&amp;D26</f>
        <v>(A.)神經緊張。</v>
      </c>
      <c r="D27" s="2"/>
      <c r="E27" s="2"/>
      <c r="F27" s="2"/>
      <c r="G27" s="2"/>
      <c r="H27" s="2"/>
      <c r="I27" s="2"/>
    </row>
    <row r="28" spans="1:9" s="3" customFormat="1" x14ac:dyDescent="0.3">
      <c r="A28" s="2"/>
      <c r="B28" s="1"/>
      <c r="C28" s="7" t="str">
        <f>"(B.)"&amp;E26</f>
        <v>(B.)意識不清。</v>
      </c>
      <c r="D28" s="2"/>
      <c r="E28" s="2"/>
      <c r="F28" s="2"/>
      <c r="G28" s="2"/>
      <c r="H28" s="2"/>
      <c r="I28" s="2"/>
    </row>
    <row r="29" spans="1:9" s="3" customFormat="1" x14ac:dyDescent="0.3">
      <c r="A29" s="2"/>
      <c r="B29" s="2"/>
      <c r="C29" s="7" t="str">
        <f>"(C.)"&amp;F26</f>
        <v>(C.)心情鬱悶。</v>
      </c>
      <c r="D29" s="2"/>
      <c r="E29" s="2"/>
      <c r="F29" s="2"/>
      <c r="G29" s="2"/>
      <c r="H29" s="2"/>
      <c r="I29" s="2"/>
    </row>
    <row r="30" spans="1:9" s="3" customFormat="1" x14ac:dyDescent="0.3">
      <c r="A30" s="2"/>
      <c r="B30" s="2"/>
      <c r="C30" s="7" t="str">
        <f>"(D.)"&amp;G26</f>
        <v>(D.)懷疑心重。</v>
      </c>
      <c r="D30" s="2"/>
      <c r="E30" s="2"/>
      <c r="F30" s="2"/>
      <c r="G30" s="2"/>
      <c r="H30" s="2"/>
      <c r="I30" s="2"/>
    </row>
    <row r="31" spans="1:9" s="3" customFormat="1" x14ac:dyDescent="0.3">
      <c r="A31" s="2"/>
      <c r="B31" s="2"/>
      <c r="C31" s="7" t="str">
        <f>"答案是： "&amp;IF(H26="A",C27,IF(H26="B",C28,IF(H26="C",C29,IF(H26=("D"),C30,"XXXX"))))</f>
        <v>答案是： (B.)意識不清。</v>
      </c>
      <c r="D31" s="2"/>
      <c r="E31" s="2"/>
      <c r="F31" s="2"/>
      <c r="G31" s="2"/>
      <c r="H31" s="2"/>
      <c r="I31" s="2"/>
    </row>
    <row r="32" spans="1:9" s="3" customFormat="1" ht="75" x14ac:dyDescent="0.3">
      <c r="A32" s="2"/>
      <c r="B32" s="2"/>
      <c r="C32" s="7" t="str">
        <f>"說明："&amp;I26</f>
        <v>說明：過度換氣（Hyperventilation）會導致體內二氧化碳濃度過低。若無法及時控制，會引發頭暈、視覺窄化，嚴重時甚至會導致意識不清或昏厥，使無人機處於無人控制的極度危險狀態。</v>
      </c>
      <c r="D32" s="2"/>
      <c r="E32" s="2"/>
      <c r="F32" s="2"/>
      <c r="G32" s="2"/>
      <c r="H32" s="2"/>
      <c r="I32" s="2"/>
    </row>
    <row r="33" spans="1:9" s="3" customFormat="1" ht="60" x14ac:dyDescent="0.3">
      <c r="A33" s="4" t="str">
        <f>dB題庫!A6</f>
        <v>5</v>
      </c>
      <c r="B33" s="4" t="str">
        <f>dB題庫!B6</f>
        <v>過度換氣的常見症狀有下列哪種狀況</v>
      </c>
      <c r="C33" s="4" t="str">
        <f t="shared" si="0"/>
        <v>5.過度換氣的常見症狀有下列哪種狀況</v>
      </c>
      <c r="D33" s="4" t="str">
        <f>dB題庫!C6</f>
        <v>視界窄化、意識不清。</v>
      </c>
      <c r="E33" s="4" t="str">
        <f>dB題庫!D6</f>
        <v>輕快或暈眩感、肢體末稍有刺痛感。</v>
      </c>
      <c r="F33" s="4" t="str">
        <f>dB題庫!E6</f>
        <v>對冷熱敏感、肌肉痙攣感。</v>
      </c>
      <c r="G33" s="4" t="str">
        <f>dB題庫!F6</f>
        <v>以上皆是。</v>
      </c>
      <c r="H33" s="4" t="str">
        <f>dB題庫!G6</f>
        <v>D</v>
      </c>
      <c r="I33" s="4" t="str">
        <f>dB題庫!H6</f>
        <v>當操作人因緊張或焦慮導致過度換氣時，身體會出現多種生理反應，包括暈眩、手腳末梢麻痺或刺痛、肌肉痙攣、視野變窄，最終甚至意識不清。</v>
      </c>
    </row>
    <row r="34" spans="1:9" s="3" customFormat="1" x14ac:dyDescent="0.3">
      <c r="A34" s="2" t="s">
        <v>60</v>
      </c>
      <c r="B34" s="1"/>
      <c r="C34" s="7" t="str">
        <f>"(A.)"&amp;D33</f>
        <v>(A.)視界窄化、意識不清。</v>
      </c>
      <c r="D34" s="2"/>
      <c r="E34" s="2"/>
      <c r="F34" s="2"/>
      <c r="G34" s="2"/>
      <c r="H34" s="2"/>
      <c r="I34" s="2"/>
    </row>
    <row r="35" spans="1:9" s="3" customFormat="1" x14ac:dyDescent="0.3">
      <c r="A35" s="2"/>
      <c r="B35" s="1"/>
      <c r="C35" s="7" t="str">
        <f>"(B.)"&amp;E33</f>
        <v>(B.)輕快或暈眩感、肢體末稍有刺痛感。</v>
      </c>
      <c r="D35" s="2"/>
      <c r="E35" s="2"/>
      <c r="F35" s="2"/>
      <c r="G35" s="2"/>
      <c r="H35" s="2"/>
      <c r="I35" s="2"/>
    </row>
    <row r="36" spans="1:9" s="3" customFormat="1" x14ac:dyDescent="0.3">
      <c r="A36" s="2"/>
      <c r="B36" s="2"/>
      <c r="C36" s="7" t="str">
        <f>"(C.)"&amp;F33</f>
        <v>(C.)對冷熱敏感、肌肉痙攣感。</v>
      </c>
      <c r="D36" s="2"/>
      <c r="E36" s="2"/>
      <c r="F36" s="2"/>
      <c r="G36" s="2"/>
      <c r="H36" s="2"/>
      <c r="I36" s="2"/>
    </row>
    <row r="37" spans="1:9" s="3" customFormat="1" x14ac:dyDescent="0.3">
      <c r="A37" s="2"/>
      <c r="B37" s="2"/>
      <c r="C37" s="7" t="str">
        <f>"(D.)"&amp;G33</f>
        <v>(D.)以上皆是。</v>
      </c>
      <c r="D37" s="2"/>
      <c r="E37" s="2"/>
      <c r="F37" s="2"/>
      <c r="G37" s="2"/>
      <c r="H37" s="2"/>
      <c r="I37" s="2"/>
    </row>
    <row r="38" spans="1:9" s="3" customFormat="1" x14ac:dyDescent="0.3">
      <c r="A38" s="2"/>
      <c r="B38" s="2"/>
      <c r="C38" s="7" t="str">
        <f>"答案是： "&amp;IF(H33="A",C34,IF(H33="B",C35,IF(H33="C",C36,IF(H33=("D"),C37,"XXXX"))))</f>
        <v>答案是： (D.)以上皆是。</v>
      </c>
      <c r="D38" s="2"/>
      <c r="E38" s="2"/>
      <c r="F38" s="2"/>
      <c r="G38" s="2"/>
      <c r="H38" s="2"/>
      <c r="I38" s="2"/>
    </row>
    <row r="39" spans="1:9" s="3" customFormat="1" ht="60" x14ac:dyDescent="0.3">
      <c r="A39" s="2"/>
      <c r="B39" s="2"/>
      <c r="C39" s="7" t="str">
        <f>"說明："&amp;I33</f>
        <v>說明：當操作人因緊張或焦慮導致過度換氣時，身體會出現多種生理反應，包括暈眩、手腳末梢麻痺或刺痛、肌肉痙攣、視野變窄，最終甚至意識不清。</v>
      </c>
      <c r="D39" s="2"/>
      <c r="E39" s="2"/>
      <c r="F39" s="2"/>
      <c r="G39" s="2"/>
      <c r="H39" s="2"/>
      <c r="I39" s="2"/>
    </row>
    <row r="40" spans="1:9" s="3" customFormat="1" ht="60" x14ac:dyDescent="0.3">
      <c r="A40" s="4" t="str">
        <f>dB題庫!A7</f>
        <v>6</v>
      </c>
      <c r="B40" s="4" t="str">
        <f>dB題庫!B7</f>
        <v>過度換氣的改善方法是下列哪種方式</v>
      </c>
      <c r="C40" s="4" t="str">
        <f t="shared" ref="C40:C257" si="1">A40&amp;"."&amp;B40</f>
        <v>6.過度換氣的改善方法是下列哪種方式</v>
      </c>
      <c r="D40" s="4" t="str">
        <f>dB題庫!C7</f>
        <v>多閱讀、多聽音樂。</v>
      </c>
      <c r="E40" s="4" t="str">
        <f>dB題庫!D7</f>
        <v>適當的飲食。</v>
      </c>
      <c r="F40" s="4" t="str">
        <f>dB題庫!E7</f>
        <v>血液裡的二氧化碳濃度恢復到正常狀態。</v>
      </c>
      <c r="G40" s="4" t="str">
        <f>dB題庫!F7</f>
        <v>擴展社交範圍。</v>
      </c>
      <c r="H40" s="4" t="str">
        <f>dB題庫!G7</f>
        <v>C</v>
      </c>
      <c r="I40" s="4" t="str">
        <f>dB題庫!H7</f>
        <v>過度換氣的改善方式是讓血液裡的二氧化碳濃度恢復到正常狀態，核心原理包含放慢呼吸速度、調整呼吸頻率以及穩定情緒。
改善與處理方法調整呼吸：進行緩慢的腹式呼吸，練習延長吐氣時間，讓呼吸頻率變慢。恢復濃度：透過減慢呼吸或重複吸吐氣，使體內流失的二氧化碳濃度回升。安撫情緒：保持冷靜，轉移注意力，避免恐慌使呼吸更快。</v>
      </c>
    </row>
    <row r="41" spans="1:9" s="3" customFormat="1" x14ac:dyDescent="0.3">
      <c r="A41" s="2" t="s">
        <v>60</v>
      </c>
      <c r="B41" s="1"/>
      <c r="C41" s="7" t="str">
        <f>"(A.)"&amp;D40</f>
        <v>(A.)多閱讀、多聽音樂。</v>
      </c>
      <c r="D41" s="2"/>
      <c r="E41" s="2"/>
      <c r="F41" s="2"/>
      <c r="G41" s="2"/>
      <c r="H41" s="2"/>
      <c r="I41" s="2"/>
    </row>
    <row r="42" spans="1:9" s="3" customFormat="1" x14ac:dyDescent="0.3">
      <c r="A42" s="2"/>
      <c r="B42" s="1"/>
      <c r="C42" s="7" t="str">
        <f>"(B.)"&amp;E40</f>
        <v>(B.)適當的飲食。</v>
      </c>
      <c r="D42" s="2"/>
      <c r="E42" s="2"/>
      <c r="F42" s="2"/>
      <c r="G42" s="2"/>
      <c r="H42" s="2"/>
      <c r="I42" s="2"/>
    </row>
    <row r="43" spans="1:9" s="3" customFormat="1" x14ac:dyDescent="0.3">
      <c r="A43" s="2"/>
      <c r="B43" s="2"/>
      <c r="C43" s="7" t="str">
        <f>"(C.)"&amp;F40</f>
        <v>(C.)血液裡的二氧化碳濃度恢復到正常狀態。</v>
      </c>
      <c r="D43" s="2"/>
      <c r="E43" s="2"/>
      <c r="F43" s="2"/>
      <c r="G43" s="2"/>
      <c r="H43" s="2"/>
      <c r="I43" s="2"/>
    </row>
    <row r="44" spans="1:9" s="3" customFormat="1" x14ac:dyDescent="0.3">
      <c r="A44" s="2"/>
      <c r="B44" s="2"/>
      <c r="C44" s="7" t="str">
        <f>"(D.)"&amp;G40</f>
        <v>(D.)擴展社交範圍。</v>
      </c>
      <c r="D44" s="2"/>
      <c r="E44" s="2"/>
      <c r="F44" s="2"/>
      <c r="G44" s="2"/>
      <c r="H44" s="2"/>
      <c r="I44" s="2"/>
    </row>
    <row r="45" spans="1:9" s="3" customFormat="1" ht="30" x14ac:dyDescent="0.3">
      <c r="A45" s="2"/>
      <c r="B45" s="2"/>
      <c r="C45" s="7" t="str">
        <f>"答案是： "&amp;IF(H40="A",C41,IF(H40="B",C42,IF(H40="C",C43,IF(H40=("D"),C44,"XXXX"))))</f>
        <v>答案是： (C.)血液裡的二氧化碳濃度恢復到正常狀態。</v>
      </c>
      <c r="D45" s="2"/>
      <c r="E45" s="2"/>
      <c r="F45" s="2"/>
      <c r="G45" s="2"/>
      <c r="H45" s="2"/>
      <c r="I45" s="2"/>
    </row>
    <row r="46" spans="1:9" s="3" customFormat="1" x14ac:dyDescent="0.3">
      <c r="A46" s="2"/>
      <c r="B46" s="2"/>
      <c r="C46" s="7" t="str">
        <f>"說明："&amp;I40</f>
        <v>說明：過度換氣的改善方式是讓血液裡的二氧化碳濃度恢復到正常狀態，核心原理包含放慢呼吸速度、調整呼吸頻率以及穩定情緒。
改善與處理方法調整呼吸：進行緩慢的腹式呼吸，練習延長吐氣時間，讓呼吸頻率變慢。恢復濃度：透過減慢呼吸或重複吸吐氣，使體內流失的二氧化碳濃度回升。安撫情緒：保持冷靜，轉移注意力，避免恐慌使呼吸更快。</v>
      </c>
      <c r="D46" s="2"/>
      <c r="E46" s="2"/>
      <c r="F46" s="2"/>
      <c r="G46" s="2"/>
      <c r="H46" s="2"/>
      <c r="I46" s="2"/>
    </row>
    <row r="47" spans="1:9" s="3" customFormat="1" ht="60" x14ac:dyDescent="0.3">
      <c r="A47" s="4" t="str">
        <f>dB題庫!A8</f>
        <v>7</v>
      </c>
      <c r="B47" s="4" t="str">
        <f>dB題庫!B8</f>
        <v>最好的預防及矯治過度換氣的方法就是下列哪種方式</v>
      </c>
      <c r="C47" s="4" t="str">
        <f t="shared" si="1"/>
        <v>7.最好的預防及矯治過度換氣的方法就是下列哪種方式</v>
      </c>
      <c r="D47" s="4" t="str">
        <f>dB題庫!C8</f>
        <v>讓呼吸保持正常、朝向紙袋呼吸或大聲交談。</v>
      </c>
      <c r="E47" s="4" t="str">
        <f>dB題庫!D8</f>
        <v>多閱讀、多聽音樂。</v>
      </c>
      <c r="F47" s="4" t="str">
        <f>dB題庫!E8</f>
        <v>適當的飲食。</v>
      </c>
      <c r="G47" s="4" t="str">
        <f>dB題庫!F8</f>
        <v>擴展社交範圍。</v>
      </c>
      <c r="H47" s="4" t="str">
        <f>dB題庫!G8</f>
        <v>A</v>
      </c>
      <c r="I47" s="4" t="str">
        <f>dB題庫!H8</f>
        <v>臨床與航空生理學上，矯治過度換氣最直接有效的實務做法包含：刻意放慢呼吸速度、朝向紙袋或雙手摀住口鼻呼吸（藉此吸回呼出的二氧化碳），或透過大聲說話強迫自己改變過快的呼吸頻率。</v>
      </c>
    </row>
    <row r="48" spans="1:9" s="3" customFormat="1" ht="30" x14ac:dyDescent="0.3">
      <c r="A48" s="2" t="s">
        <v>60</v>
      </c>
      <c r="B48" s="1"/>
      <c r="C48" s="7" t="str">
        <f>"(A.)"&amp;D47</f>
        <v>(A.)讓呼吸保持正常、朝向紙袋呼吸或大聲交談。</v>
      </c>
      <c r="D48" s="2"/>
      <c r="E48" s="2"/>
      <c r="F48" s="2"/>
      <c r="G48" s="2"/>
      <c r="H48" s="2"/>
      <c r="I48" s="2"/>
    </row>
    <row r="49" spans="1:9" s="3" customFormat="1" x14ac:dyDescent="0.3">
      <c r="A49" s="2"/>
      <c r="B49" s="1"/>
      <c r="C49" s="7" t="str">
        <f>"(B.)"&amp;E47</f>
        <v>(B.)多閱讀、多聽音樂。</v>
      </c>
      <c r="D49" s="2"/>
      <c r="E49" s="2"/>
      <c r="F49" s="2"/>
      <c r="G49" s="2"/>
      <c r="H49" s="2"/>
      <c r="I49" s="2"/>
    </row>
    <row r="50" spans="1:9" s="3" customFormat="1" x14ac:dyDescent="0.3">
      <c r="A50" s="2"/>
      <c r="B50" s="2"/>
      <c r="C50" s="7" t="str">
        <f>"(C.)"&amp;F47</f>
        <v>(C.)適當的飲食。</v>
      </c>
      <c r="D50" s="2"/>
      <c r="E50" s="2"/>
      <c r="F50" s="2"/>
      <c r="G50" s="2"/>
      <c r="H50" s="2"/>
      <c r="I50" s="2"/>
    </row>
    <row r="51" spans="1:9" s="3" customFormat="1" x14ac:dyDescent="0.3">
      <c r="A51" s="2"/>
      <c r="B51" s="2"/>
      <c r="C51" s="7" t="str">
        <f>"(D.)"&amp;G47</f>
        <v>(D.)擴展社交範圍。</v>
      </c>
      <c r="D51" s="2"/>
      <c r="E51" s="2"/>
      <c r="F51" s="2"/>
      <c r="G51" s="2"/>
      <c r="H51" s="2"/>
      <c r="I51" s="2"/>
    </row>
    <row r="52" spans="1:9" s="3" customFormat="1" ht="30" x14ac:dyDescent="0.3">
      <c r="A52" s="2"/>
      <c r="B52" s="2"/>
      <c r="C52" s="7" t="str">
        <f>"答案是： "&amp;IF(H47="A",C48,IF(H47="B",C49,IF(H47="C",C50,IF(H47=("D"),C51,"XXXX"))))</f>
        <v>答案是： (A.)讓呼吸保持正常、朝向紙袋呼吸或大聲交談。</v>
      </c>
      <c r="D52" s="2"/>
      <c r="E52" s="2"/>
      <c r="F52" s="2"/>
      <c r="G52" s="2"/>
      <c r="H52" s="2"/>
      <c r="I52" s="2"/>
    </row>
    <row r="53" spans="1:9" s="3" customFormat="1" ht="75" x14ac:dyDescent="0.3">
      <c r="A53" s="2"/>
      <c r="B53" s="2"/>
      <c r="C53" s="7" t="str">
        <f>"說明："&amp;I47</f>
        <v>說明：臨床與航空生理學上，矯治過度換氣最直接有效的實務做法包含：刻意放慢呼吸速度、朝向紙袋或雙手摀住口鼻呼吸（藉此吸回呼出的二氧化碳），或透過大聲說話強迫自己改變過快的呼吸頻率。</v>
      </c>
      <c r="D53" s="2"/>
      <c r="E53" s="2"/>
      <c r="F53" s="2"/>
      <c r="G53" s="2"/>
      <c r="H53" s="2"/>
      <c r="I53" s="2"/>
    </row>
    <row r="54" spans="1:9" s="3" customFormat="1" ht="30" x14ac:dyDescent="0.3">
      <c r="A54" s="4" t="str">
        <f>dB題庫!A9</f>
        <v>8</v>
      </c>
      <c r="B54" s="4" t="str">
        <f>dB題庫!B9</f>
        <v>下列哪種狀況是人體對於生理及心理的需求所做出的反應</v>
      </c>
      <c r="C54" s="4" t="str">
        <f t="shared" si="1"/>
        <v>8.下列哪種狀況是人體對於生理及心理的需求所做出的反應</v>
      </c>
      <c r="D54" s="4" t="str">
        <f>dB題庫!C9</f>
        <v>脫水。</v>
      </c>
      <c r="E54" s="4" t="str">
        <f>dB題庫!D9</f>
        <v>壓力。</v>
      </c>
      <c r="F54" s="4" t="str">
        <f>dB題庫!E9</f>
        <v>熱中暑。</v>
      </c>
      <c r="G54" s="4" t="str">
        <f>dB題庫!F9</f>
        <v>酒醉。</v>
      </c>
      <c r="H54" s="4" t="str">
        <f>dB題庫!G9</f>
        <v>B</v>
      </c>
      <c r="I54" s="4" t="str">
        <f>dB題庫!H9</f>
        <v>「壓力」是人體面對外在環境改變、挑戰、威脅或內在要求時，生理與心理所產生的綜合性調適反應。</v>
      </c>
    </row>
    <row r="55" spans="1:9" s="3" customFormat="1" x14ac:dyDescent="0.3">
      <c r="A55" s="2" t="s">
        <v>60</v>
      </c>
      <c r="B55" s="1"/>
      <c r="C55" s="7" t="str">
        <f>"(A.)"&amp;D54</f>
        <v>(A.)脫水。</v>
      </c>
      <c r="D55" s="2"/>
      <c r="E55" s="2"/>
      <c r="F55" s="2"/>
      <c r="G55" s="2"/>
      <c r="H55" s="2"/>
      <c r="I55" s="2"/>
    </row>
    <row r="56" spans="1:9" s="3" customFormat="1" x14ac:dyDescent="0.3">
      <c r="A56" s="2"/>
      <c r="B56" s="1"/>
      <c r="C56" s="7" t="str">
        <f>"(B.)"&amp;E54</f>
        <v>(B.)壓力。</v>
      </c>
      <c r="D56" s="2"/>
      <c r="E56" s="2"/>
      <c r="F56" s="2"/>
      <c r="G56" s="2"/>
      <c r="H56" s="2"/>
      <c r="I56" s="2"/>
    </row>
    <row r="57" spans="1:9" s="3" customFormat="1" x14ac:dyDescent="0.3">
      <c r="A57" s="2"/>
      <c r="B57" s="2"/>
      <c r="C57" s="7" t="str">
        <f>"(C.)"&amp;F54</f>
        <v>(C.)熱中暑。</v>
      </c>
      <c r="D57" s="2"/>
      <c r="E57" s="2"/>
      <c r="F57" s="2"/>
      <c r="G57" s="2"/>
      <c r="H57" s="2"/>
      <c r="I57" s="2"/>
    </row>
    <row r="58" spans="1:9" s="3" customFormat="1" x14ac:dyDescent="0.3">
      <c r="A58" s="2"/>
      <c r="B58" s="2"/>
      <c r="C58" s="7" t="str">
        <f>"(D.)"&amp;G54</f>
        <v>(D.)酒醉。</v>
      </c>
      <c r="D58" s="2"/>
      <c r="E58" s="2"/>
      <c r="F58" s="2"/>
      <c r="G58" s="2"/>
      <c r="H58" s="2"/>
      <c r="I58" s="2"/>
    </row>
    <row r="59" spans="1:9" s="3" customFormat="1" x14ac:dyDescent="0.3">
      <c r="A59" s="2"/>
      <c r="B59" s="2"/>
      <c r="C59" s="7" t="str">
        <f>"答案是： "&amp;IF(H54="A",C55,IF(H54="B",C56,IF(H54="C",C57,IF(H54=("D"),C58,"XXXX"))))</f>
        <v>答案是： (B.)壓力。</v>
      </c>
      <c r="D59" s="2"/>
      <c r="E59" s="2"/>
      <c r="F59" s="2"/>
      <c r="G59" s="2"/>
      <c r="H59" s="2"/>
      <c r="I59" s="2"/>
    </row>
    <row r="60" spans="1:9" s="3" customFormat="1" ht="45" x14ac:dyDescent="0.3">
      <c r="A60" s="2"/>
      <c r="B60" s="2"/>
      <c r="C60" s="7" t="str">
        <f>"說明："&amp;I54</f>
        <v>說明：「壓力」是人體面對外在環境改變、挑戰、威脅或內在要求時，生理與心理所產生的綜合性調適反應。</v>
      </c>
      <c r="D60" s="2"/>
      <c r="E60" s="2"/>
      <c r="F60" s="2"/>
      <c r="G60" s="2"/>
      <c r="H60" s="2"/>
      <c r="I60" s="2"/>
    </row>
    <row r="61" spans="1:9" s="3" customFormat="1" ht="60" x14ac:dyDescent="0.3">
      <c r="A61" s="4" t="str">
        <f>dB題庫!A10</f>
        <v>9</v>
      </c>
      <c r="B61" s="4" t="str">
        <f>dB題庫!B10</f>
        <v>壓力源包括下列哪種狀況</v>
      </c>
      <c r="C61" s="4" t="str">
        <f t="shared" si="1"/>
        <v>9.壓力源包括下列哪種狀況</v>
      </c>
      <c r="D61" s="4" t="str">
        <f>dB題庫!C10</f>
        <v>物理的壓力(如噪音及振動)。</v>
      </c>
      <c r="E61" s="4" t="str">
        <f>dB題庫!D10</f>
        <v>生理的壓力(如疲勞)。</v>
      </c>
      <c r="F61" s="4" t="str">
        <f>dB題庫!E10</f>
        <v>心理的壓力(如工作困難或個人情緒因素)。</v>
      </c>
      <c r="G61" s="4" t="str">
        <f>dB題庫!F10</f>
        <v>以上皆是。</v>
      </c>
      <c r="H61" s="4" t="str">
        <f>dB題庫!G10</f>
        <v>D</v>
      </c>
      <c r="I61" s="4" t="str">
        <f>dB題庫!H10</f>
        <v>壓力源的分類包含：物理環境（噪音、極端氣溫、震動）、生理狀況（睡眠不足、疾病、疲勞）以及心理因素（任務複雜度高、時間壓力、焦慮或家庭情緒等）。</v>
      </c>
    </row>
    <row r="62" spans="1:9" s="3" customFormat="1" x14ac:dyDescent="0.3">
      <c r="A62" s="2" t="s">
        <v>60</v>
      </c>
      <c r="B62" s="1"/>
      <c r="C62" s="7" t="str">
        <f>"(A.)"&amp;D61</f>
        <v>(A.)物理的壓力(如噪音及振動)。</v>
      </c>
      <c r="D62" s="2"/>
      <c r="E62" s="2"/>
      <c r="F62" s="2"/>
      <c r="G62" s="2"/>
      <c r="H62" s="2"/>
      <c r="I62" s="2"/>
    </row>
    <row r="63" spans="1:9" s="3" customFormat="1" x14ac:dyDescent="0.3">
      <c r="A63" s="2"/>
      <c r="B63" s="1"/>
      <c r="C63" s="7" t="str">
        <f>"(B.)"&amp;E61</f>
        <v>(B.)生理的壓力(如疲勞)。</v>
      </c>
      <c r="D63" s="2"/>
      <c r="E63" s="2"/>
      <c r="F63" s="2"/>
      <c r="G63" s="2"/>
      <c r="H63" s="2"/>
      <c r="I63" s="2"/>
    </row>
    <row r="64" spans="1:9" s="3" customFormat="1" x14ac:dyDescent="0.3">
      <c r="A64" s="2"/>
      <c r="B64" s="2"/>
      <c r="C64" s="7" t="str">
        <f>"(C.)"&amp;F61</f>
        <v>(C.)心理的壓力(如工作困難或個人情緒因素)。</v>
      </c>
      <c r="D64" s="2"/>
      <c r="E64" s="2"/>
      <c r="F64" s="2"/>
      <c r="G64" s="2"/>
      <c r="H64" s="2"/>
      <c r="I64" s="2"/>
    </row>
    <row r="65" spans="1:9" s="3" customFormat="1" x14ac:dyDescent="0.3">
      <c r="A65" s="2"/>
      <c r="B65" s="2"/>
      <c r="C65" s="7" t="str">
        <f>"(D.)"&amp;G61</f>
        <v>(D.)以上皆是。</v>
      </c>
      <c r="D65" s="2"/>
      <c r="E65" s="2"/>
      <c r="F65" s="2"/>
      <c r="G65" s="2"/>
      <c r="H65" s="2"/>
      <c r="I65" s="2"/>
    </row>
    <row r="66" spans="1:9" s="3" customFormat="1" x14ac:dyDescent="0.3">
      <c r="A66" s="2"/>
      <c r="B66" s="2"/>
      <c r="C66" s="7" t="str">
        <f>"答案是： "&amp;IF(H61="A",C62,IF(H61="B",C63,IF(H61="C",C64,IF(H61=("D"),C65,"XXXX"))))</f>
        <v>答案是： (D.)以上皆是。</v>
      </c>
      <c r="D66" s="2"/>
      <c r="E66" s="2"/>
      <c r="F66" s="2"/>
      <c r="G66" s="2"/>
      <c r="H66" s="2"/>
      <c r="I66" s="2"/>
    </row>
    <row r="67" spans="1:9" s="3" customFormat="1" ht="60" x14ac:dyDescent="0.3">
      <c r="A67" s="2"/>
      <c r="B67" s="2"/>
      <c r="C67" s="7" t="str">
        <f>"說明："&amp;I61</f>
        <v>說明：壓力源的分類包含：物理環境（噪音、極端氣溫、震動）、生理狀況（睡眠不足、疾病、疲勞）以及心理因素（任務複雜度高、時間壓力、焦慮或家庭情緒等）。</v>
      </c>
      <c r="D67" s="2"/>
      <c r="E67" s="2"/>
      <c r="F67" s="2"/>
      <c r="G67" s="2"/>
      <c r="H67" s="2"/>
      <c r="I67" s="2"/>
    </row>
    <row r="68" spans="1:9" s="3" customFormat="1" ht="45" x14ac:dyDescent="0.3">
      <c r="A68" s="4" t="str">
        <f>dB題庫!A11</f>
        <v>10</v>
      </c>
      <c r="B68" s="4" t="str">
        <f>dB題庫!B11</f>
        <v>持續性的急性壓力可能發展成下列哪種狀況</v>
      </c>
      <c r="C68" s="4" t="str">
        <f t="shared" si="1"/>
        <v>10.持續性的急性壓力可能發展成下列哪種狀況</v>
      </c>
      <c r="D68" s="4" t="str">
        <f>dB題庫!C11</f>
        <v>不定期的過度換氣壓力。</v>
      </c>
      <c r="E68" s="4" t="str">
        <f>dB題庫!D11</f>
        <v>不定期的疲勞壓力。</v>
      </c>
      <c r="F68" s="4" t="str">
        <f>dB題庫!E11</f>
        <v>長期的慢性壓力。</v>
      </c>
      <c r="G68" s="4" t="str">
        <f>dB題庫!F11</f>
        <v>不定期的酒精壓力。</v>
      </c>
      <c r="H68" s="4" t="str">
        <f>dB題庫!G11</f>
        <v>C</v>
      </c>
      <c r="I68" s="4" t="str">
        <f>dB題庫!H11</f>
        <v>當身體頻繁面對突發的「急性壓力」，且未能得到適當的舒緩與調適時，這些壓力會不斷累積，最終轉化為長期影響身心健康的「慢性壓力」。</v>
      </c>
    </row>
    <row r="69" spans="1:9" s="3" customFormat="1" x14ac:dyDescent="0.3">
      <c r="A69" s="2" t="s">
        <v>60</v>
      </c>
      <c r="B69" s="1"/>
      <c r="C69" s="7" t="str">
        <f>"(A.)"&amp;D68</f>
        <v>(A.)不定期的過度換氣壓力。</v>
      </c>
      <c r="D69" s="2"/>
      <c r="E69" s="2"/>
      <c r="F69" s="2"/>
      <c r="G69" s="2"/>
      <c r="H69" s="2"/>
      <c r="I69" s="2"/>
    </row>
    <row r="70" spans="1:9" s="3" customFormat="1" x14ac:dyDescent="0.3">
      <c r="A70" s="2"/>
      <c r="B70" s="1"/>
      <c r="C70" s="7" t="str">
        <f>"(B.)"&amp;E68</f>
        <v>(B.)不定期的疲勞壓力。</v>
      </c>
      <c r="D70" s="2"/>
      <c r="E70" s="2"/>
      <c r="F70" s="2"/>
      <c r="G70" s="2"/>
      <c r="H70" s="2"/>
      <c r="I70" s="2"/>
    </row>
    <row r="71" spans="1:9" s="3" customFormat="1" x14ac:dyDescent="0.3">
      <c r="A71" s="2"/>
      <c r="B71" s="2"/>
      <c r="C71" s="7" t="str">
        <f>"(C.)"&amp;F68</f>
        <v>(C.)長期的慢性壓力。</v>
      </c>
      <c r="D71" s="2"/>
      <c r="E71" s="2"/>
      <c r="F71" s="2"/>
      <c r="G71" s="2"/>
      <c r="H71" s="2"/>
      <c r="I71" s="2"/>
    </row>
    <row r="72" spans="1:9" s="3" customFormat="1" x14ac:dyDescent="0.3">
      <c r="A72" s="2"/>
      <c r="B72" s="2"/>
      <c r="C72" s="7" t="str">
        <f>"(D.)"&amp;G68</f>
        <v>(D.)不定期的酒精壓力。</v>
      </c>
      <c r="D72" s="2"/>
      <c r="E72" s="2"/>
      <c r="F72" s="2"/>
      <c r="G72" s="2"/>
      <c r="H72" s="2"/>
      <c r="I72" s="2"/>
    </row>
    <row r="73" spans="1:9" s="3" customFormat="1" x14ac:dyDescent="0.3">
      <c r="A73" s="2"/>
      <c r="B73" s="2"/>
      <c r="C73" s="7" t="str">
        <f>"答案是： "&amp;IF(H68="A",C69,IF(H68="B",C70,IF(H68="C",C71,IF(H68=("D"),C72,"XXXX"))))</f>
        <v>答案是： (C.)長期的慢性壓力。</v>
      </c>
      <c r="D73" s="2"/>
      <c r="E73" s="2"/>
      <c r="F73" s="2"/>
      <c r="G73" s="2"/>
      <c r="H73" s="2"/>
      <c r="I73" s="2"/>
    </row>
    <row r="74" spans="1:9" s="3" customFormat="1" ht="60" x14ac:dyDescent="0.3">
      <c r="A74" s="2"/>
      <c r="B74" s="2"/>
      <c r="C74" s="7" t="str">
        <f>"說明："&amp;I68</f>
        <v>說明：當身體頻繁面對突發的「急性壓力」，且未能得到適當的舒緩與調適時，這些壓力會不斷累積，最終轉化為長期影響身心健康的「慢性壓力」。</v>
      </c>
      <c r="D74" s="2"/>
      <c r="E74" s="2"/>
      <c r="F74" s="2"/>
      <c r="G74" s="2"/>
      <c r="H74" s="2"/>
      <c r="I74" s="2"/>
    </row>
    <row r="75" spans="1:9" s="3" customFormat="1" ht="45" x14ac:dyDescent="0.3">
      <c r="A75" s="4" t="str">
        <f>dB題庫!A18</f>
        <v>17</v>
      </c>
      <c r="B75" s="4" t="str">
        <f>dB題庫!B18</f>
        <v>疲勞會導致下列哪幾種症狀,影響遙控無人機操作人的判斷力</v>
      </c>
      <c r="C75" s="4" t="str">
        <f t="shared" si="1"/>
        <v>17.疲勞會導致下列哪幾種症狀,影響遙控無人機操作人的判斷力</v>
      </c>
      <c r="D75" s="4" t="str">
        <f>dB題庫!C18</f>
        <v>注意力渙散。</v>
      </c>
      <c r="E75" s="4" t="str">
        <f>dB題庫!D18</f>
        <v>專注力下降。</v>
      </c>
      <c r="F75" s="4" t="str">
        <f>dB題庫!E18</f>
        <v>協調性及溝通性降低。</v>
      </c>
      <c r="G75" s="4" t="str">
        <f>dB題庫!F18</f>
        <v>以上皆是。</v>
      </c>
      <c r="H75" s="4" t="str">
        <f>dB題庫!G18</f>
        <v>D</v>
      </c>
      <c r="I75" s="4" t="str">
        <f>dB題庫!H18</f>
        <v>疲勞對飛行員或操作人的不良影響極大，包括注意力無法集中（渙散）、反應時間拉長、大腦專注力下降、手眼協調性變差，以及與團隊（如觀察員）的溝通效率降低。</v>
      </c>
    </row>
    <row r="76" spans="1:9" s="3" customFormat="1" x14ac:dyDescent="0.3">
      <c r="A76" s="2" t="s">
        <v>60</v>
      </c>
      <c r="B76" s="1"/>
      <c r="C76" s="7" t="str">
        <f>"(A.)"&amp;D75</f>
        <v>(A.)注意力渙散。</v>
      </c>
      <c r="D76" s="2"/>
      <c r="E76" s="2"/>
      <c r="F76" s="2"/>
      <c r="G76" s="2"/>
      <c r="H76" s="2"/>
      <c r="I76" s="2"/>
    </row>
    <row r="77" spans="1:9" s="3" customFormat="1" x14ac:dyDescent="0.3">
      <c r="A77" s="2"/>
      <c r="B77" s="1"/>
      <c r="C77" s="7" t="str">
        <f>"(B.)"&amp;E75</f>
        <v>(B.)專注力下降。</v>
      </c>
      <c r="D77" s="2"/>
      <c r="E77" s="2"/>
      <c r="F77" s="2"/>
      <c r="G77" s="2"/>
      <c r="H77" s="2"/>
      <c r="I77" s="2"/>
    </row>
    <row r="78" spans="1:9" s="3" customFormat="1" x14ac:dyDescent="0.3">
      <c r="A78" s="2"/>
      <c r="B78" s="2"/>
      <c r="C78" s="7" t="str">
        <f>"(C.)"&amp;F75</f>
        <v>(C.)協調性及溝通性降低。</v>
      </c>
      <c r="D78" s="2"/>
      <c r="E78" s="2"/>
      <c r="F78" s="2"/>
      <c r="G78" s="2"/>
      <c r="H78" s="2"/>
      <c r="I78" s="2"/>
    </row>
    <row r="79" spans="1:9" s="3" customFormat="1" x14ac:dyDescent="0.3">
      <c r="A79" s="2"/>
      <c r="B79" s="2"/>
      <c r="C79" s="7" t="str">
        <f>"(D.)"&amp;G75</f>
        <v>(D.)以上皆是。</v>
      </c>
      <c r="D79" s="2"/>
      <c r="E79" s="2"/>
      <c r="F79" s="2"/>
      <c r="G79" s="2"/>
      <c r="H79" s="2"/>
      <c r="I79" s="2"/>
    </row>
    <row r="80" spans="1:9" s="3" customFormat="1" x14ac:dyDescent="0.3">
      <c r="A80" s="2"/>
      <c r="B80" s="2"/>
      <c r="C80" s="7" t="str">
        <f>"答案是： "&amp;IF(H75="A",C76,IF(H75="B",C77,IF(H75="C",C78,IF(H75=("D"),C79,"XXXX"))))</f>
        <v>答案是： (D.)以上皆是。</v>
      </c>
      <c r="D80" s="2"/>
      <c r="E80" s="2"/>
      <c r="F80" s="2"/>
      <c r="G80" s="2"/>
      <c r="H80" s="2"/>
      <c r="I80" s="2"/>
    </row>
    <row r="81" spans="1:9" s="3" customFormat="1" ht="60" x14ac:dyDescent="0.3">
      <c r="A81" s="2"/>
      <c r="B81" s="2"/>
      <c r="C81" s="7" t="str">
        <f>"說明："&amp;I75</f>
        <v>說明：疲勞對飛行員或操作人的不良影響極大，包括注意力無法集中（渙散）、反應時間拉長、大腦專注力下降、手眼協調性變差，以及與團隊（如觀察員）的溝通效率降低。</v>
      </c>
      <c r="D81" s="2"/>
      <c r="E81" s="2"/>
      <c r="F81" s="2"/>
      <c r="G81" s="2"/>
      <c r="H81" s="2"/>
      <c r="I81" s="2"/>
    </row>
    <row r="82" spans="1:9" s="3" customFormat="1" ht="45" x14ac:dyDescent="0.3">
      <c r="A82" s="4" t="str">
        <f>dB題庫!A19</f>
        <v>18</v>
      </c>
      <c r="B82" s="4" t="str">
        <f>dB題庫!B19</f>
        <v>急性疲勞通常是下列哪一種</v>
      </c>
      <c r="C82" s="4" t="str">
        <f t="shared" si="1"/>
        <v>18.急性疲勞通常是下列哪一種</v>
      </c>
      <c r="D82" s="4" t="str">
        <f>dB題庫!C19</f>
        <v>短期。</v>
      </c>
      <c r="E82" s="4" t="str">
        <f>dB題庫!D19</f>
        <v>長期。</v>
      </c>
      <c r="F82" s="4" t="str">
        <f>dB題庫!E19</f>
        <v>有時長期有時短期。</v>
      </c>
      <c r="G82" s="4" t="str">
        <f>dB題庫!F19</f>
        <v>以上皆非。</v>
      </c>
      <c r="H82" s="4" t="str">
        <f>dB題庫!G19</f>
        <v>A</v>
      </c>
      <c r="I82" s="4" t="str">
        <f>dB題庫!H19</f>
        <v>急性疲勞（Acute Fatigue）通常是「短期」的，主要是因為一兩天內睡眠不足、連續工作時間過長、或進行高強度活動所致，通常在經過一次充足的睡眠或休息後即可消除。</v>
      </c>
    </row>
    <row r="83" spans="1:9" s="3" customFormat="1" x14ac:dyDescent="0.3">
      <c r="A83" s="2" t="s">
        <v>60</v>
      </c>
      <c r="B83" s="1"/>
      <c r="C83" s="7" t="str">
        <f>"(A.)"&amp;D82</f>
        <v>(A.)短期。</v>
      </c>
      <c r="D83" s="2"/>
      <c r="E83" s="2"/>
      <c r="F83" s="2"/>
      <c r="G83" s="2"/>
      <c r="H83" s="2"/>
      <c r="I83" s="2"/>
    </row>
    <row r="84" spans="1:9" s="3" customFormat="1" x14ac:dyDescent="0.3">
      <c r="A84" s="2"/>
      <c r="B84" s="1"/>
      <c r="C84" s="7" t="str">
        <f>"(B.)"&amp;E82</f>
        <v>(B.)長期。</v>
      </c>
      <c r="D84" s="2"/>
      <c r="E84" s="2"/>
      <c r="F84" s="2"/>
      <c r="G84" s="2"/>
      <c r="H84" s="2"/>
      <c r="I84" s="2"/>
    </row>
    <row r="85" spans="1:9" s="3" customFormat="1" x14ac:dyDescent="0.3">
      <c r="A85" s="2"/>
      <c r="B85" s="2"/>
      <c r="C85" s="7" t="str">
        <f>"(C.)"&amp;F82</f>
        <v>(C.)有時長期有時短期。</v>
      </c>
      <c r="D85" s="2"/>
      <c r="E85" s="2"/>
      <c r="F85" s="2"/>
      <c r="G85" s="2"/>
      <c r="H85" s="2"/>
      <c r="I85" s="2"/>
    </row>
    <row r="86" spans="1:9" s="3" customFormat="1" x14ac:dyDescent="0.3">
      <c r="A86" s="2"/>
      <c r="B86" s="2"/>
      <c r="C86" s="7" t="str">
        <f>"(D.)"&amp;G82</f>
        <v>(D.)以上皆非。</v>
      </c>
      <c r="D86" s="2"/>
      <c r="E86" s="2"/>
      <c r="F86" s="2"/>
      <c r="G86" s="2"/>
      <c r="H86" s="2"/>
      <c r="I86" s="2"/>
    </row>
    <row r="87" spans="1:9" s="3" customFormat="1" x14ac:dyDescent="0.3">
      <c r="A87" s="2"/>
      <c r="B87" s="2"/>
      <c r="C87" s="7" t="str">
        <f>"答案是： "&amp;IF(H82="A",C83,IF(H82="B",C84,IF(H82="C",C85,IF(H82=("D"),C86,"XXXX"))))</f>
        <v>答案是： (A.)短期。</v>
      </c>
      <c r="D87" s="2"/>
      <c r="E87" s="2"/>
      <c r="F87" s="2"/>
      <c r="G87" s="2"/>
      <c r="H87" s="2"/>
      <c r="I87" s="2"/>
    </row>
    <row r="88" spans="1:9" s="3" customFormat="1" ht="60" x14ac:dyDescent="0.3">
      <c r="A88" s="2"/>
      <c r="B88" s="2"/>
      <c r="C88" s="7" t="str">
        <f>"說明："&amp;I82</f>
        <v>說明：急性疲勞（Acute Fatigue）通常是「短期」的，主要是因為一兩天內睡眠不足、連續工作時間過長、或進行高強度活動所致，通常在經過一次充足的睡眠或休息後即可消除。</v>
      </c>
      <c r="D88" s="2"/>
      <c r="E88" s="2"/>
      <c r="F88" s="2"/>
      <c r="G88" s="2"/>
      <c r="H88" s="2"/>
      <c r="I88" s="2"/>
    </row>
    <row r="89" spans="1:9" s="3" customFormat="1" ht="45" x14ac:dyDescent="0.3">
      <c r="A89" s="4" t="str">
        <f>dB題庫!A20</f>
        <v>19</v>
      </c>
      <c r="B89" s="4" t="str">
        <f>dB題庫!B20</f>
        <v>遙控無人機操作人若忽略或未及時改善急性疲勞,則會進一步造成下列哪種狀況</v>
      </c>
      <c r="C89" s="4" t="str">
        <f t="shared" si="1"/>
        <v>19.遙控無人機操作人若忽略或未及時改善急性疲勞,則會進一步造成下列哪種狀況</v>
      </c>
      <c r="D89" s="4" t="str">
        <f>dB題庫!C20</f>
        <v>過度疲勞。</v>
      </c>
      <c r="E89" s="4" t="str">
        <f>dB題庫!D20</f>
        <v>慢性疲勞。</v>
      </c>
      <c r="F89" s="4" t="str">
        <f>dB題庫!E20</f>
        <v>中度疲勞。</v>
      </c>
      <c r="G89" s="4" t="str">
        <f>dB題庫!F20</f>
        <v>低度疲勞。</v>
      </c>
      <c r="H89" s="4" t="str">
        <f>dB題庫!G20</f>
        <v>B</v>
      </c>
      <c r="I89" s="4" t="str">
        <f>dB題庫!H20</f>
        <v>如果操作人長期忽視急性疲勞，不及時進行足夠的休息與調節，使身體持續處於透支狀態，日積月累後就會演變成難以恢復的「慢性疲勞」（Chronic Fatigue）。</v>
      </c>
    </row>
    <row r="90" spans="1:9" s="3" customFormat="1" x14ac:dyDescent="0.3">
      <c r="A90" s="2" t="s">
        <v>60</v>
      </c>
      <c r="B90" s="1"/>
      <c r="C90" s="7" t="str">
        <f>"(A.)"&amp;D89</f>
        <v>(A.)過度疲勞。</v>
      </c>
      <c r="D90" s="2"/>
      <c r="E90" s="2"/>
      <c r="F90" s="2"/>
      <c r="G90" s="2"/>
      <c r="H90" s="2"/>
      <c r="I90" s="2"/>
    </row>
    <row r="91" spans="1:9" s="3" customFormat="1" x14ac:dyDescent="0.3">
      <c r="A91" s="2"/>
      <c r="B91" s="1"/>
      <c r="C91" s="7" t="str">
        <f>"(B.)"&amp;E89</f>
        <v>(B.)慢性疲勞。</v>
      </c>
      <c r="D91" s="2"/>
      <c r="E91" s="2"/>
      <c r="F91" s="2"/>
      <c r="G91" s="2"/>
      <c r="H91" s="2"/>
      <c r="I91" s="2"/>
    </row>
    <row r="92" spans="1:9" s="3" customFormat="1" x14ac:dyDescent="0.3">
      <c r="A92" s="2"/>
      <c r="B92" s="2"/>
      <c r="C92" s="7" t="str">
        <f>"(C.)"&amp;F89</f>
        <v>(C.)中度疲勞。</v>
      </c>
      <c r="D92" s="2"/>
      <c r="E92" s="2"/>
      <c r="F92" s="2"/>
      <c r="G92" s="2"/>
      <c r="H92" s="2"/>
      <c r="I92" s="2"/>
    </row>
    <row r="93" spans="1:9" s="3" customFormat="1" x14ac:dyDescent="0.3">
      <c r="A93" s="2"/>
      <c r="B93" s="2"/>
      <c r="C93" s="7" t="str">
        <f>"(D.)"&amp;G89</f>
        <v>(D.)低度疲勞。</v>
      </c>
      <c r="D93" s="2"/>
      <c r="E93" s="2"/>
      <c r="F93" s="2"/>
      <c r="G93" s="2"/>
      <c r="H93" s="2"/>
      <c r="I93" s="2"/>
    </row>
    <row r="94" spans="1:9" s="3" customFormat="1" x14ac:dyDescent="0.3">
      <c r="A94" s="2"/>
      <c r="B94" s="2"/>
      <c r="C94" s="7" t="str">
        <f>"答案是： "&amp;IF(H89="A",C90,IF(H89="B",C91,IF(H89="C",C92,IF(H89=("D"),C93,"XXXX"))))</f>
        <v>答案是： (B.)慢性疲勞。</v>
      </c>
      <c r="D94" s="2"/>
      <c r="E94" s="2"/>
      <c r="F94" s="2"/>
      <c r="G94" s="2"/>
      <c r="H94" s="2"/>
      <c r="I94" s="2"/>
    </row>
    <row r="95" spans="1:9" s="3" customFormat="1" ht="60" x14ac:dyDescent="0.3">
      <c r="A95" s="2"/>
      <c r="B95" s="2"/>
      <c r="C95" s="7" t="str">
        <f>"說明："&amp;I89</f>
        <v>說明：如果操作人長期忽視急性疲勞，不及時進行足夠的休息與調節，使身體持續處於透支狀態，日積月累後就會演變成難以恢復的「慢性疲勞」（Chronic Fatigue）。</v>
      </c>
      <c r="D95" s="2"/>
      <c r="E95" s="2"/>
      <c r="F95" s="2"/>
      <c r="G95" s="2"/>
      <c r="H95" s="2"/>
      <c r="I95" s="2"/>
    </row>
    <row r="96" spans="1:9" s="3" customFormat="1" ht="45" x14ac:dyDescent="0.3">
      <c r="A96" s="4" t="str">
        <f>dB題庫!A21</f>
        <v>20</v>
      </c>
      <c r="B96" s="4" t="str">
        <f>dB題庫!B21</f>
        <v>慢性疲勞可能出現的症狀包括下列哪種狀況</v>
      </c>
      <c r="C96" s="4" t="str">
        <f t="shared" si="1"/>
        <v>20.慢性疲勞可能出現的症狀包括下列哪種狀況</v>
      </c>
      <c r="D96" s="4" t="str">
        <f>dB題庫!C21</f>
        <v>虛弱、強烈的疲倦、倦怠感。</v>
      </c>
      <c r="E96" s="4" t="str">
        <f>dB題庫!D21</f>
        <v>心悸、呼吸不順、頭痛。</v>
      </c>
      <c r="F96" s="4" t="str">
        <f>dB題庫!E21</f>
        <v>其他身體的不適及沮喪與焦慮。</v>
      </c>
      <c r="G96" s="4" t="str">
        <f>dB題庫!F21</f>
        <v>以上皆是。</v>
      </c>
      <c r="H96" s="4" t="str">
        <f>dB題庫!G21</f>
        <v>D</v>
      </c>
      <c r="I96" s="4" t="str">
        <f>dB題庫!H21</f>
        <v>慢性疲勞屬於深層且長期的身心系統失調，其表現不僅是強烈的無力與倦怠感，還常伴隨心血管與神經症狀（心悸、頭痛、呼吸不順），甚至是心理層面的焦慮與沮喪。</v>
      </c>
    </row>
    <row r="97" spans="1:9" s="3" customFormat="1" x14ac:dyDescent="0.3">
      <c r="A97" s="2" t="s">
        <v>60</v>
      </c>
      <c r="B97" s="1"/>
      <c r="C97" s="7" t="str">
        <f>"(A.)"&amp;D96</f>
        <v>(A.)虛弱、強烈的疲倦、倦怠感。</v>
      </c>
      <c r="D97" s="2"/>
      <c r="E97" s="2"/>
      <c r="F97" s="2"/>
      <c r="G97" s="2"/>
      <c r="H97" s="2"/>
      <c r="I97" s="2"/>
    </row>
    <row r="98" spans="1:9" s="3" customFormat="1" x14ac:dyDescent="0.3">
      <c r="A98" s="2"/>
      <c r="B98" s="1"/>
      <c r="C98" s="7" t="str">
        <f>"(B.)"&amp;E96</f>
        <v>(B.)心悸、呼吸不順、頭痛。</v>
      </c>
      <c r="D98" s="2"/>
      <c r="E98" s="2"/>
      <c r="F98" s="2"/>
      <c r="G98" s="2"/>
      <c r="H98" s="2"/>
      <c r="I98" s="2"/>
    </row>
    <row r="99" spans="1:9" s="3" customFormat="1" x14ac:dyDescent="0.3">
      <c r="A99" s="2"/>
      <c r="B99" s="2"/>
      <c r="C99" s="7" t="str">
        <f>"(C.)"&amp;F96</f>
        <v>(C.)其他身體的不適及沮喪與焦慮。</v>
      </c>
      <c r="D99" s="2"/>
      <c r="E99" s="2"/>
      <c r="F99" s="2"/>
      <c r="G99" s="2"/>
      <c r="H99" s="2"/>
      <c r="I99" s="2"/>
    </row>
    <row r="100" spans="1:9" s="3" customFormat="1" x14ac:dyDescent="0.3">
      <c r="A100" s="2"/>
      <c r="B100" s="2"/>
      <c r="C100" s="7" t="str">
        <f>"(D.)"&amp;G96</f>
        <v>(D.)以上皆是。</v>
      </c>
      <c r="D100" s="2"/>
      <c r="E100" s="2"/>
      <c r="F100" s="2"/>
      <c r="G100" s="2"/>
      <c r="H100" s="2"/>
      <c r="I100" s="2"/>
    </row>
    <row r="101" spans="1:9" s="3" customFormat="1" x14ac:dyDescent="0.3">
      <c r="A101" s="2"/>
      <c r="B101" s="2"/>
      <c r="C101" s="7" t="str">
        <f>"答案是： "&amp;IF(H96="A",C97,IF(H96="B",C98,IF(H96="C",C99,IF(H96=("D"),C100,"XXXX"))))</f>
        <v>答案是： (D.)以上皆是。</v>
      </c>
      <c r="D101" s="2"/>
      <c r="E101" s="2"/>
      <c r="F101" s="2"/>
      <c r="G101" s="2"/>
      <c r="H101" s="2"/>
      <c r="I101" s="2"/>
    </row>
    <row r="102" spans="1:9" s="3" customFormat="1" ht="60" x14ac:dyDescent="0.3">
      <c r="A102" s="2"/>
      <c r="B102" s="2"/>
      <c r="C102" s="7" t="str">
        <f>"說明："&amp;I96</f>
        <v>說明：慢性疲勞屬於深層且長期的身心系統失調，其表現不僅是強烈的無力與倦怠感，還常伴隨心血管與神經症狀（心悸、頭痛、呼吸不順），甚至是心理層面的焦慮與沮喪。</v>
      </c>
      <c r="D102" s="2"/>
      <c r="E102" s="2"/>
      <c r="F102" s="2"/>
      <c r="G102" s="2"/>
      <c r="H102" s="2"/>
      <c r="I102" s="2"/>
    </row>
    <row r="103" spans="1:9" s="3" customFormat="1" ht="45" x14ac:dyDescent="0.3">
      <c r="A103" s="4" t="str">
        <f>dB題庫!A22</f>
        <v>21</v>
      </c>
      <c r="B103" s="4" t="str">
        <f>dB題庫!B22</f>
        <v>急性疲勞中,有種特殊情況稱之為下列哪種疲勞,在操作方面的影響主要有時機掌握混亂及視域過度聚焦</v>
      </c>
      <c r="C103" s="4" t="str">
        <f t="shared" si="1"/>
        <v>21.急性疲勞中,有種特殊情況稱之為下列哪種疲勞,在操作方面的影響主要有時機掌握混亂及視域過度聚焦</v>
      </c>
      <c r="D103" s="4" t="str">
        <f>dB題庫!C22</f>
        <v>社會性疲勞。</v>
      </c>
      <c r="E103" s="4" t="str">
        <f>dB題庫!D22</f>
        <v>經濟性疲勞。</v>
      </c>
      <c r="F103" s="4" t="str">
        <f>dB題庫!E22</f>
        <v>技能疲勞。</v>
      </c>
      <c r="G103" s="4" t="str">
        <f>dB題庫!F22</f>
        <v>教育性疲勞。</v>
      </c>
      <c r="H103" s="4" t="str">
        <f>dB題庫!G22</f>
        <v>C</v>
      </c>
      <c r="I103" s="4" t="str">
        <f>dB題庫!H22</f>
        <v>「技能疲勞」（Skill Fatigue）是急性疲勞的一種特殊型態。當長時間重複執行高精密度的操作技能時，操作人會表現出對任務的時間感混亂（例如錯過修正姿態的時機）以及視線過度聚焦在單一儀表或畫面上。</v>
      </c>
    </row>
    <row r="104" spans="1:9" s="3" customFormat="1" x14ac:dyDescent="0.3">
      <c r="A104" s="2" t="s">
        <v>60</v>
      </c>
      <c r="B104" s="1"/>
      <c r="C104" s="7" t="str">
        <f>"(A.)"&amp;D103</f>
        <v>(A.)社會性疲勞。</v>
      </c>
      <c r="D104" s="2"/>
      <c r="E104" s="2"/>
      <c r="F104" s="2"/>
      <c r="G104" s="2"/>
      <c r="H104" s="2"/>
      <c r="I104" s="2"/>
    </row>
    <row r="105" spans="1:9" s="3" customFormat="1" x14ac:dyDescent="0.3">
      <c r="A105" s="2"/>
      <c r="B105" s="1"/>
      <c r="C105" s="7" t="str">
        <f>"(B.)"&amp;E103</f>
        <v>(B.)經濟性疲勞。</v>
      </c>
      <c r="D105" s="2"/>
      <c r="E105" s="2"/>
      <c r="F105" s="2"/>
      <c r="G105" s="2"/>
      <c r="H105" s="2"/>
      <c r="I105" s="2"/>
    </row>
    <row r="106" spans="1:9" s="3" customFormat="1" x14ac:dyDescent="0.3">
      <c r="A106" s="2"/>
      <c r="B106" s="2"/>
      <c r="C106" s="7" t="str">
        <f>"(C.)"&amp;F103</f>
        <v>(C.)技能疲勞。</v>
      </c>
      <c r="D106" s="2"/>
      <c r="E106" s="2"/>
      <c r="F106" s="2"/>
      <c r="G106" s="2"/>
      <c r="H106" s="2"/>
      <c r="I106" s="2"/>
    </row>
    <row r="107" spans="1:9" s="3" customFormat="1" x14ac:dyDescent="0.3">
      <c r="A107" s="2"/>
      <c r="B107" s="2"/>
      <c r="C107" s="7" t="str">
        <f>"(D.)"&amp;G103</f>
        <v>(D.)教育性疲勞。</v>
      </c>
      <c r="D107" s="2"/>
      <c r="E107" s="2"/>
      <c r="F107" s="2"/>
      <c r="G107" s="2"/>
      <c r="H107" s="2"/>
      <c r="I107" s="2"/>
    </row>
    <row r="108" spans="1:9" s="3" customFormat="1" x14ac:dyDescent="0.3">
      <c r="A108" s="2"/>
      <c r="B108" s="2"/>
      <c r="C108" s="7" t="str">
        <f>"答案是： "&amp;IF(H103="A",C104,IF(H103="B",C105,IF(H103="C",C106,IF(H103=("D"),C107,"XXXX"))))</f>
        <v>答案是： (C.)技能疲勞。</v>
      </c>
      <c r="D108" s="2"/>
      <c r="E108" s="2"/>
      <c r="F108" s="2"/>
      <c r="G108" s="2"/>
      <c r="H108" s="2"/>
      <c r="I108" s="2"/>
    </row>
    <row r="109" spans="1:9" s="3" customFormat="1" ht="75" x14ac:dyDescent="0.3">
      <c r="A109" s="2"/>
      <c r="B109" s="2"/>
      <c r="C109" s="7" t="str">
        <f>"說明："&amp;I103</f>
        <v>說明：「技能疲勞」（Skill Fatigue）是急性疲勞的一種特殊型態。當長時間重複執行高精密度的操作技能時，操作人會表現出對任務的時間感混亂（例如錯過修正姿態的時機）以及視線過度聚焦在單一儀表或畫面上。</v>
      </c>
      <c r="D109" s="2"/>
      <c r="E109" s="2"/>
      <c r="F109" s="2"/>
      <c r="G109" s="2"/>
      <c r="H109" s="2"/>
      <c r="I109" s="2"/>
    </row>
    <row r="110" spans="1:9" s="3" customFormat="1" ht="30" x14ac:dyDescent="0.3">
      <c r="A110" s="4" t="str">
        <f>dB題庫!A23</f>
        <v>22</v>
      </c>
      <c r="B110" s="4" t="str">
        <f>dB題庫!B23</f>
        <v>下列哪種狀況是身體組織水分不足的情況</v>
      </c>
      <c r="C110" s="4" t="str">
        <f t="shared" si="1"/>
        <v>22.下列哪種狀況是身體組織水分不足的情況</v>
      </c>
      <c r="D110" s="4" t="str">
        <f>dB題庫!C23</f>
        <v>脫水。</v>
      </c>
      <c r="E110" s="4" t="str">
        <f>dB題庫!D23</f>
        <v>失眠。</v>
      </c>
      <c r="F110" s="4" t="str">
        <f>dB題庫!E23</f>
        <v>低血糖。</v>
      </c>
      <c r="G110" s="4" t="str">
        <f>dB題庫!F23</f>
        <v>缺氧。</v>
      </c>
      <c r="H110" s="4" t="str">
        <f>dB題庫!G23</f>
        <v>A</v>
      </c>
      <c r="I110" s="4" t="str">
        <f>dB題庫!H23</f>
        <v>「脫水」（Dehydration）在生理學上的定義即為身體攝取的水分少於流失的水分，進而導致體內組織與細胞水分不足的現象。</v>
      </c>
    </row>
    <row r="111" spans="1:9" s="3" customFormat="1" x14ac:dyDescent="0.3">
      <c r="A111" s="2" t="s">
        <v>60</v>
      </c>
      <c r="B111" s="1"/>
      <c r="C111" s="7" t="str">
        <f>"(A.)"&amp;D110</f>
        <v>(A.)脫水。</v>
      </c>
      <c r="D111" s="2"/>
      <c r="E111" s="2"/>
      <c r="F111" s="2"/>
      <c r="G111" s="2"/>
      <c r="H111" s="2"/>
      <c r="I111" s="2"/>
    </row>
    <row r="112" spans="1:9" s="3" customFormat="1" x14ac:dyDescent="0.3">
      <c r="A112" s="2"/>
      <c r="B112" s="1"/>
      <c r="C112" s="7" t="str">
        <f>"(B.)"&amp;E110</f>
        <v>(B.)失眠。</v>
      </c>
      <c r="D112" s="2"/>
      <c r="E112" s="2"/>
      <c r="F112" s="2"/>
      <c r="G112" s="2"/>
      <c r="H112" s="2"/>
      <c r="I112" s="2"/>
    </row>
    <row r="113" spans="1:9" s="3" customFormat="1" x14ac:dyDescent="0.3">
      <c r="A113" s="2"/>
      <c r="B113" s="2"/>
      <c r="C113" s="7" t="str">
        <f>"(C.)"&amp;F110</f>
        <v>(C.)低血糖。</v>
      </c>
      <c r="D113" s="2"/>
      <c r="E113" s="2"/>
      <c r="F113" s="2"/>
      <c r="G113" s="2"/>
      <c r="H113" s="2"/>
      <c r="I113" s="2"/>
    </row>
    <row r="114" spans="1:9" s="3" customFormat="1" x14ac:dyDescent="0.3">
      <c r="A114" s="2"/>
      <c r="B114" s="2"/>
      <c r="C114" s="7" t="str">
        <f>"(D.)"&amp;G110</f>
        <v>(D.)缺氧。</v>
      </c>
      <c r="D114" s="2"/>
      <c r="E114" s="2"/>
      <c r="F114" s="2"/>
      <c r="G114" s="2"/>
      <c r="H114" s="2"/>
      <c r="I114" s="2"/>
    </row>
    <row r="115" spans="1:9" s="3" customFormat="1" x14ac:dyDescent="0.3">
      <c r="A115" s="2"/>
      <c r="B115" s="2"/>
      <c r="C115" s="7" t="str">
        <f>"答案是： "&amp;IF(H110="A",C111,IF(H110="B",C112,IF(H110="C",C113,IF(H110=("D"),C114,"XXXX"))))</f>
        <v>答案是： (A.)脫水。</v>
      </c>
      <c r="D115" s="2"/>
      <c r="E115" s="2"/>
      <c r="F115" s="2"/>
      <c r="G115" s="2"/>
      <c r="H115" s="2"/>
      <c r="I115" s="2"/>
    </row>
    <row r="116" spans="1:9" s="3" customFormat="1" ht="45" x14ac:dyDescent="0.3">
      <c r="A116" s="2"/>
      <c r="B116" s="2"/>
      <c r="C116" s="7" t="str">
        <f>"說明："&amp;I110</f>
        <v>說明：「脫水」（Dehydration）在生理學上的定義即為身體攝取的水分少於流失的水分，進而導致體內組織與細胞水分不足的現象。</v>
      </c>
      <c r="D116" s="2"/>
      <c r="E116" s="2"/>
      <c r="F116" s="2"/>
      <c r="G116" s="2"/>
      <c r="H116" s="2"/>
      <c r="I116" s="2"/>
    </row>
    <row r="117" spans="1:9" s="3" customFormat="1" ht="60" x14ac:dyDescent="0.3">
      <c r="A117" s="4" t="str">
        <f>dB題庫!A24</f>
        <v>23</v>
      </c>
      <c r="B117" s="4" t="str">
        <f>dB題庫!B24</f>
        <v>下列哪種狀況可能會造成水分補充不及導致脫水</v>
      </c>
      <c r="C117" s="4" t="str">
        <f t="shared" si="1"/>
        <v>23.下列哪種狀況可能會造成水分補充不及導致脫水</v>
      </c>
      <c r="D117" s="4" t="str">
        <f>dB題庫!C24</f>
        <v>長時間處於高溫、高溼度、高海拔環境。</v>
      </c>
      <c r="E117" s="4" t="str">
        <f>dB題庫!D24</f>
        <v>心理壓力。</v>
      </c>
      <c r="F117" s="4" t="str">
        <f>dB題庫!E24</f>
        <v>飲用過多刺激性飲料。</v>
      </c>
      <c r="G117" s="4" t="str">
        <f>dB題庫!F24</f>
        <v>以上皆是。</v>
      </c>
      <c r="H117" s="4" t="str">
        <f>dB題庫!G24</f>
        <v>D</v>
      </c>
      <c r="I117" s="4" t="str">
        <f>dB題庫!H24</f>
        <v>高溫高濕會加速排汗，高海拔會加速呼吸水分蒸發；心理壓力與飲用咖啡、茶、酒精等刺激性利尿飲料，皆會加劇身體水分流失，增加脫水風險。</v>
      </c>
    </row>
    <row r="118" spans="1:9" s="3" customFormat="1" x14ac:dyDescent="0.3">
      <c r="A118" s="2" t="s">
        <v>60</v>
      </c>
      <c r="B118" s="1"/>
      <c r="C118" s="7" t="str">
        <f>"(A.)"&amp;D117</f>
        <v>(A.)長時間處於高溫、高溼度、高海拔環境。</v>
      </c>
      <c r="D118" s="2"/>
      <c r="E118" s="2"/>
      <c r="F118" s="2"/>
      <c r="G118" s="2"/>
      <c r="H118" s="2"/>
      <c r="I118" s="2"/>
    </row>
    <row r="119" spans="1:9" s="3" customFormat="1" x14ac:dyDescent="0.3">
      <c r="A119" s="2"/>
      <c r="B119" s="1"/>
      <c r="C119" s="7" t="str">
        <f>"(B.)"&amp;E117</f>
        <v>(B.)心理壓力。</v>
      </c>
      <c r="D119" s="2"/>
      <c r="E119" s="2"/>
      <c r="F119" s="2"/>
      <c r="G119" s="2"/>
      <c r="H119" s="2"/>
      <c r="I119" s="2"/>
    </row>
    <row r="120" spans="1:9" s="3" customFormat="1" x14ac:dyDescent="0.3">
      <c r="A120" s="2"/>
      <c r="B120" s="2"/>
      <c r="C120" s="7" t="str">
        <f>"(C.)"&amp;F117</f>
        <v>(C.)飲用過多刺激性飲料。</v>
      </c>
      <c r="D120" s="2"/>
      <c r="E120" s="2"/>
      <c r="F120" s="2"/>
      <c r="G120" s="2"/>
      <c r="H120" s="2"/>
      <c r="I120" s="2"/>
    </row>
    <row r="121" spans="1:9" s="3" customFormat="1" x14ac:dyDescent="0.3">
      <c r="A121" s="2"/>
      <c r="B121" s="2"/>
      <c r="C121" s="7" t="str">
        <f>"(D.)"&amp;G117</f>
        <v>(D.)以上皆是。</v>
      </c>
      <c r="D121" s="2"/>
      <c r="E121" s="2"/>
      <c r="F121" s="2"/>
      <c r="G121" s="2"/>
      <c r="H121" s="2"/>
      <c r="I121" s="2"/>
    </row>
    <row r="122" spans="1:9" s="3" customFormat="1" x14ac:dyDescent="0.3">
      <c r="A122" s="2"/>
      <c r="B122" s="2"/>
      <c r="C122" s="7" t="str">
        <f>"答案是： "&amp;IF(H117="A",C118,IF(H117="B",C119,IF(H117="C",C120,IF(H117=("D"),C121,"XXXX"))))</f>
        <v>答案是： (D.)以上皆是。</v>
      </c>
      <c r="D122" s="2"/>
      <c r="E122" s="2"/>
      <c r="F122" s="2"/>
      <c r="G122" s="2"/>
      <c r="H122" s="2"/>
      <c r="I122" s="2"/>
    </row>
    <row r="123" spans="1:9" s="3" customFormat="1" ht="60" x14ac:dyDescent="0.3">
      <c r="A123" s="2"/>
      <c r="B123" s="2"/>
      <c r="C123" s="7" t="str">
        <f>"說明："&amp;I117</f>
        <v>說明：高溫高濕會加速排汗，高海拔會加速呼吸水分蒸發；心理壓力與飲用咖啡、茶、酒精等刺激性利尿飲料，皆會加劇身體水分流失，增加脫水風險。</v>
      </c>
      <c r="D123" s="2"/>
      <c r="E123" s="2"/>
      <c r="F123" s="2"/>
      <c r="G123" s="2"/>
      <c r="H123" s="2"/>
      <c r="I123" s="2"/>
    </row>
    <row r="124" spans="1:9" s="3" customFormat="1" ht="45" x14ac:dyDescent="0.3">
      <c r="A124" s="4" t="str">
        <f>dB題庫!A25</f>
        <v>24</v>
      </c>
      <c r="B124" s="4" t="str">
        <f>dB題庫!B25</f>
        <v>脫水最先出現的症狀是下列哪種狀況,將導致遙控無人機操作人的生理及心智表現下滑</v>
      </c>
      <c r="C124" s="4" t="str">
        <f t="shared" si="1"/>
        <v>24.脫水最先出現的症狀是下列哪種狀況,將導致遙控無人機操作人的生理及心智表現下滑</v>
      </c>
      <c r="D124" s="4" t="str">
        <f>dB題庫!C25</f>
        <v>口乾。</v>
      </c>
      <c r="E124" s="4" t="str">
        <f>dB題庫!D25</f>
        <v>舌燥。</v>
      </c>
      <c r="F124" s="4" t="str">
        <f>dB題庫!E25</f>
        <v>較強的疲勞感。</v>
      </c>
      <c r="G124" s="4" t="str">
        <f>dB題庫!F25</f>
        <v>以上皆是。</v>
      </c>
      <c r="H124" s="4" t="str">
        <f>dB題庫!G25</f>
        <v>D</v>
      </c>
      <c r="I124" s="4" t="str">
        <f>dB題庫!H25</f>
        <v>脫水初期最直觀的生理警訊就是口乾舌燥。隨著缺水程度增加，大腦血液循環變差，操作人會立刻感受到明顯的疲勞感、頭痛，並伴隨心智專注力與判斷力的嚴重下滑。</v>
      </c>
    </row>
    <row r="125" spans="1:9" s="3" customFormat="1" x14ac:dyDescent="0.3">
      <c r="A125" s="2" t="s">
        <v>60</v>
      </c>
      <c r="B125" s="1"/>
      <c r="C125" s="7" t="str">
        <f>"(A.)"&amp;D124</f>
        <v>(A.)口乾。</v>
      </c>
      <c r="D125" s="2"/>
      <c r="E125" s="2"/>
      <c r="F125" s="2"/>
      <c r="G125" s="2"/>
      <c r="H125" s="2"/>
      <c r="I125" s="2"/>
    </row>
    <row r="126" spans="1:9" s="3" customFormat="1" x14ac:dyDescent="0.3">
      <c r="A126" s="2"/>
      <c r="B126" s="1"/>
      <c r="C126" s="7" t="str">
        <f>"(B.)"&amp;E124</f>
        <v>(B.)舌燥。</v>
      </c>
      <c r="D126" s="2"/>
      <c r="E126" s="2"/>
      <c r="F126" s="2"/>
      <c r="G126" s="2"/>
      <c r="H126" s="2"/>
      <c r="I126" s="2"/>
    </row>
    <row r="127" spans="1:9" s="3" customFormat="1" x14ac:dyDescent="0.3">
      <c r="A127" s="2"/>
      <c r="B127" s="2"/>
      <c r="C127" s="7" t="str">
        <f>"(C.)"&amp;F124</f>
        <v>(C.)較強的疲勞感。</v>
      </c>
      <c r="D127" s="2"/>
      <c r="E127" s="2"/>
      <c r="F127" s="2"/>
      <c r="G127" s="2"/>
      <c r="H127" s="2"/>
      <c r="I127" s="2"/>
    </row>
    <row r="128" spans="1:9" s="3" customFormat="1" x14ac:dyDescent="0.3">
      <c r="A128" s="2"/>
      <c r="B128" s="2"/>
      <c r="C128" s="7" t="str">
        <f>"(D.)"&amp;G124</f>
        <v>(D.)以上皆是。</v>
      </c>
      <c r="D128" s="2"/>
      <c r="E128" s="2"/>
      <c r="F128" s="2"/>
      <c r="G128" s="2"/>
      <c r="H128" s="2"/>
      <c r="I128" s="2"/>
    </row>
    <row r="129" spans="1:9" s="3" customFormat="1" x14ac:dyDescent="0.3">
      <c r="A129" s="2"/>
      <c r="B129" s="2"/>
      <c r="C129" s="7" t="str">
        <f>"答案是： "&amp;IF(H124="A",C125,IF(H124="B",C126,IF(H124="C",C127,IF(H124=("D"),C128,"XXXX"))))</f>
        <v>答案是： (D.)以上皆是。</v>
      </c>
      <c r="D129" s="2"/>
      <c r="E129" s="2"/>
      <c r="F129" s="2"/>
      <c r="G129" s="2"/>
      <c r="H129" s="2"/>
      <c r="I129" s="2"/>
    </row>
    <row r="130" spans="1:9" s="3" customFormat="1" ht="60" x14ac:dyDescent="0.3">
      <c r="A130" s="2"/>
      <c r="B130" s="2"/>
      <c r="C130" s="7" t="str">
        <f>"說明："&amp;I124</f>
        <v>說明：脫水初期最直觀的生理警訊就是口乾舌燥。隨著缺水程度增加，大腦血液循環變差，操作人會立刻感受到明顯的疲勞感、頭痛，並伴隨心智專注力與判斷力的嚴重下滑。</v>
      </c>
      <c r="D130" s="2"/>
      <c r="E130" s="2"/>
      <c r="F130" s="2"/>
      <c r="G130" s="2"/>
      <c r="H130" s="2"/>
      <c r="I130" s="2"/>
    </row>
    <row r="131" spans="1:9" s="3" customFormat="1" ht="30" x14ac:dyDescent="0.3">
      <c r="A131" s="4" t="str">
        <f>dB題庫!A26</f>
        <v>25</v>
      </c>
      <c r="B131" s="4" t="str">
        <f>dB題庫!B26</f>
        <v>為避免脫水,遙控無人機操作人應隨時掌握己身之生理狀況,並採取下列哪個動作</v>
      </c>
      <c r="C131" s="4" t="str">
        <f t="shared" si="1"/>
        <v>25.為避免脫水,遙控無人機操作人應隨時掌握己身之生理狀況,並採取下列哪個動作</v>
      </c>
      <c r="D131" s="4" t="str">
        <f>dB題庫!C26</f>
        <v>隨時閱讀。</v>
      </c>
      <c r="E131" s="4" t="str">
        <f>dB題庫!D26</f>
        <v>適時補充水分。</v>
      </c>
      <c r="F131" s="4" t="str">
        <f>dB題庫!E26</f>
        <v>適時上廁所。</v>
      </c>
      <c r="G131" s="4" t="str">
        <f>dB題庫!F26</f>
        <v>隨時聽音樂。</v>
      </c>
      <c r="H131" s="4" t="str">
        <f>dB題庫!G26</f>
        <v>B</v>
      </c>
      <c r="I131" s="4" t="str">
        <f>dB題庫!H26</f>
        <v>預防脫水唯一且最直接有效的物理性做法，就是在操作無人機的環境中「適時、規律地補充乾淨的飲用水」。</v>
      </c>
    </row>
    <row r="132" spans="1:9" s="3" customFormat="1" x14ac:dyDescent="0.3">
      <c r="A132" s="2" t="s">
        <v>60</v>
      </c>
      <c r="B132" s="1"/>
      <c r="C132" s="7" t="str">
        <f>"(A.)"&amp;D131</f>
        <v>(A.)隨時閱讀。</v>
      </c>
      <c r="D132" s="2"/>
      <c r="E132" s="2"/>
      <c r="F132" s="2"/>
      <c r="G132" s="2"/>
      <c r="H132" s="2"/>
      <c r="I132" s="2"/>
    </row>
    <row r="133" spans="1:9" s="3" customFormat="1" x14ac:dyDescent="0.3">
      <c r="A133" s="2"/>
      <c r="B133" s="1"/>
      <c r="C133" s="7" t="str">
        <f>"(B.)"&amp;E131</f>
        <v>(B.)適時補充水分。</v>
      </c>
      <c r="D133" s="2"/>
      <c r="E133" s="2"/>
      <c r="F133" s="2"/>
      <c r="G133" s="2"/>
      <c r="H133" s="2"/>
      <c r="I133" s="2"/>
    </row>
    <row r="134" spans="1:9" s="3" customFormat="1" x14ac:dyDescent="0.3">
      <c r="A134" s="2"/>
      <c r="B134" s="2"/>
      <c r="C134" s="7" t="str">
        <f>"(C.)"&amp;F131</f>
        <v>(C.)適時上廁所。</v>
      </c>
      <c r="D134" s="2"/>
      <c r="E134" s="2"/>
      <c r="F134" s="2"/>
      <c r="G134" s="2"/>
      <c r="H134" s="2"/>
      <c r="I134" s="2"/>
    </row>
    <row r="135" spans="1:9" s="3" customFormat="1" x14ac:dyDescent="0.3">
      <c r="A135" s="2"/>
      <c r="B135" s="2"/>
      <c r="C135" s="7" t="str">
        <f>"(D.)"&amp;G131</f>
        <v>(D.)隨時聽音樂。</v>
      </c>
      <c r="D135" s="2"/>
      <c r="E135" s="2"/>
      <c r="F135" s="2"/>
      <c r="G135" s="2"/>
      <c r="H135" s="2"/>
      <c r="I135" s="2"/>
    </row>
    <row r="136" spans="1:9" s="3" customFormat="1" x14ac:dyDescent="0.3">
      <c r="A136" s="2"/>
      <c r="B136" s="2"/>
      <c r="C136" s="7" t="str">
        <f>"答案是： "&amp;IF(H131="A",C132,IF(H131="B",C133,IF(H131="C",C134,IF(H131=("D"),C135,"XXXX"))))</f>
        <v>答案是： (B.)適時補充水分。</v>
      </c>
      <c r="D136" s="2"/>
      <c r="E136" s="2"/>
      <c r="F136" s="2"/>
      <c r="G136" s="2"/>
      <c r="H136" s="2"/>
      <c r="I136" s="2"/>
    </row>
    <row r="137" spans="1:9" s="3" customFormat="1" ht="45" x14ac:dyDescent="0.3">
      <c r="A137" s="2"/>
      <c r="B137" s="2"/>
      <c r="C137" s="7" t="str">
        <f>"說明："&amp;I131</f>
        <v>說明：預防脫水唯一且最直接有效的物理性做法，就是在操作無人機的環境中「適時、規律地補充乾淨的飲用水」。</v>
      </c>
      <c r="D137" s="2"/>
      <c r="E137" s="2"/>
      <c r="F137" s="2"/>
      <c r="G137" s="2"/>
      <c r="H137" s="2"/>
      <c r="I137" s="2"/>
    </row>
    <row r="138" spans="1:9" s="3" customFormat="1" ht="45" x14ac:dyDescent="0.3">
      <c r="A138" s="4" t="str">
        <f>dB題庫!A27</f>
        <v>26</v>
      </c>
      <c r="B138" s="4" t="str">
        <f>dB題庫!B27</f>
        <v>下列哪種狀況是指身體無法對體溫進行控制</v>
      </c>
      <c r="C138" s="4" t="str">
        <f t="shared" si="1"/>
        <v>26.下列哪種狀況是指身體無法對體溫進行控制</v>
      </c>
      <c r="D138" s="4" t="str">
        <f>dB題庫!C27</f>
        <v>缺氧。</v>
      </c>
      <c r="E138" s="4" t="str">
        <f>dB題庫!D27</f>
        <v>低血糖。</v>
      </c>
      <c r="F138" s="4" t="str">
        <f>dB題庫!E27</f>
        <v>熱中暑。</v>
      </c>
      <c r="G138" s="4" t="str">
        <f>dB題庫!F27</f>
        <v>失眠。</v>
      </c>
      <c r="H138" s="4" t="str">
        <f>dB題庫!G27</f>
        <v>C</v>
      </c>
      <c r="I138" s="4" t="str">
        <f>dB題庫!H27</f>
        <v>「熱中暑」（Heat Stroke）是中暑中最嚴重的類型。此時人體的體溫調節中樞（下視丘）完全失控，導致體內熱量瘋狂蓄積，體溫可能飆升至40°C以上，具生命危險。</v>
      </c>
    </row>
    <row r="139" spans="1:9" s="3" customFormat="1" x14ac:dyDescent="0.3">
      <c r="A139" s="2" t="s">
        <v>60</v>
      </c>
      <c r="B139" s="1"/>
      <c r="C139" s="7" t="str">
        <f>"(A.)"&amp;D138</f>
        <v>(A.)缺氧。</v>
      </c>
      <c r="D139" s="2"/>
      <c r="E139" s="2"/>
      <c r="F139" s="2"/>
      <c r="G139" s="2"/>
      <c r="H139" s="2"/>
      <c r="I139" s="2"/>
    </row>
    <row r="140" spans="1:9" s="3" customFormat="1" x14ac:dyDescent="0.3">
      <c r="A140" s="2"/>
      <c r="B140" s="1"/>
      <c r="C140" s="7" t="str">
        <f>"(B.)"&amp;E138</f>
        <v>(B.)低血糖。</v>
      </c>
      <c r="D140" s="2"/>
      <c r="E140" s="2"/>
      <c r="F140" s="2"/>
      <c r="G140" s="2"/>
      <c r="H140" s="2"/>
      <c r="I140" s="2"/>
    </row>
    <row r="141" spans="1:9" s="3" customFormat="1" x14ac:dyDescent="0.3">
      <c r="A141" s="2"/>
      <c r="B141" s="2"/>
      <c r="C141" s="7" t="str">
        <f>"(C.)"&amp;F138</f>
        <v>(C.)熱中暑。</v>
      </c>
      <c r="D141" s="2"/>
      <c r="E141" s="2"/>
      <c r="F141" s="2"/>
      <c r="G141" s="2"/>
      <c r="H141" s="2"/>
      <c r="I141" s="2"/>
    </row>
    <row r="142" spans="1:9" s="3" customFormat="1" x14ac:dyDescent="0.3">
      <c r="A142" s="2"/>
      <c r="B142" s="2"/>
      <c r="C142" s="7" t="str">
        <f>"(D.)"&amp;G138</f>
        <v>(D.)失眠。</v>
      </c>
      <c r="D142" s="2"/>
      <c r="E142" s="2"/>
      <c r="F142" s="2"/>
      <c r="G142" s="2"/>
      <c r="H142" s="2"/>
      <c r="I142" s="2"/>
    </row>
    <row r="143" spans="1:9" s="3" customFormat="1" x14ac:dyDescent="0.3">
      <c r="A143" s="2"/>
      <c r="B143" s="2"/>
      <c r="C143" s="7" t="str">
        <f>"答案是： "&amp;IF(H138="A",C139,IF(H138="B",C140,IF(H138="C",C141,IF(H138=("D"),C142,"XXXX"))))</f>
        <v>答案是： (C.)熱中暑。</v>
      </c>
      <c r="D143" s="2"/>
      <c r="E143" s="2"/>
      <c r="F143" s="2"/>
      <c r="G143" s="2"/>
      <c r="H143" s="2"/>
      <c r="I143" s="2"/>
    </row>
    <row r="144" spans="1:9" s="3" customFormat="1" ht="60" x14ac:dyDescent="0.3">
      <c r="A144" s="2"/>
      <c r="B144" s="2"/>
      <c r="C144" s="7" t="str">
        <f>"說明："&amp;I138</f>
        <v>說明：「熱中暑」（Heat Stroke）是中暑中最嚴重的類型。此時人體的體溫調節中樞（下視丘）完全失控，導致體內熱量瘋狂蓄積，體溫可能飆升至40°C以上，具生命危險。</v>
      </c>
      <c r="D144" s="2"/>
      <c r="E144" s="2"/>
      <c r="F144" s="2"/>
      <c r="G144" s="2"/>
      <c r="H144" s="2"/>
      <c r="I144" s="2"/>
    </row>
    <row r="145" spans="1:9" s="3" customFormat="1" ht="90" x14ac:dyDescent="0.3">
      <c r="A145" s="4" t="str">
        <f>dB題庫!A28</f>
        <v>27</v>
      </c>
      <c r="B145" s="4" t="str">
        <f>dB題庫!B28</f>
        <v>熱中暑原因是下列哪種狀況</v>
      </c>
      <c r="C145" s="4" t="str">
        <f t="shared" si="1"/>
        <v>27.熱中暑原因是下列哪種狀況</v>
      </c>
      <c r="D145" s="4" t="str">
        <f>dB題庫!C28</f>
        <v>身體的熱無法排出。</v>
      </c>
      <c r="E145" s="4" t="str">
        <f>dB題庫!D28</f>
        <v>飲酒過量。</v>
      </c>
      <c r="F145" s="4" t="str">
        <f>dB題庫!E28</f>
        <v>失眠。</v>
      </c>
      <c r="G145" s="4" t="str">
        <f>dB題庫!F28</f>
        <v>低血糖。</v>
      </c>
      <c r="H145" s="4" t="str">
        <f>dB題庫!G28</f>
        <v>A</v>
      </c>
      <c r="I145" s="4" t="str">
        <f>dB題庫!H28</f>
        <v>根據民航局學科教材內容之關聯性，高溫環境工作下若「充分的睡眠」不足（失眠），會顯著降低人體對熱環境的耐受力與體溫調節能力，成為誘發熱中暑的重要危險因子。
熱中暑的根本原因是身體產熱超過了散熱速度，導致體溫調節中樞失效，核心體溫飆升超過 40.5°C。這通常分為兩大類原因：「環境型中暑」（因無法散熱）與「勞動型中暑」（因體內產熱過多）。</v>
      </c>
    </row>
    <row r="146" spans="1:9" s="3" customFormat="1" x14ac:dyDescent="0.3">
      <c r="A146" s="2" t="s">
        <v>60</v>
      </c>
      <c r="B146" s="1"/>
      <c r="C146" s="7" t="str">
        <f>"(A.)"&amp;D145</f>
        <v>(A.)身體的熱無法排出。</v>
      </c>
      <c r="D146" s="2"/>
      <c r="E146" s="2"/>
      <c r="F146" s="2"/>
      <c r="G146" s="2"/>
      <c r="H146" s="2"/>
      <c r="I146" s="2"/>
    </row>
    <row r="147" spans="1:9" s="3" customFormat="1" x14ac:dyDescent="0.3">
      <c r="A147" s="2"/>
      <c r="B147" s="1"/>
      <c r="C147" s="7" t="str">
        <f>"(B.)"&amp;E145</f>
        <v>(B.)飲酒過量。</v>
      </c>
      <c r="D147" s="2"/>
      <c r="E147" s="2"/>
      <c r="F147" s="2"/>
      <c r="G147" s="2"/>
      <c r="H147" s="2"/>
      <c r="I147" s="2"/>
    </row>
    <row r="148" spans="1:9" s="3" customFormat="1" x14ac:dyDescent="0.3">
      <c r="A148" s="2"/>
      <c r="B148" s="2"/>
      <c r="C148" s="7" t="str">
        <f>"(C.)"&amp;F145</f>
        <v>(C.)失眠。</v>
      </c>
      <c r="D148" s="2"/>
      <c r="E148" s="2"/>
      <c r="F148" s="2"/>
      <c r="G148" s="2"/>
      <c r="H148" s="2"/>
      <c r="I148" s="2"/>
    </row>
    <row r="149" spans="1:9" s="3" customFormat="1" x14ac:dyDescent="0.3">
      <c r="A149" s="2"/>
      <c r="B149" s="2"/>
      <c r="C149" s="7" t="str">
        <f>"(D.)"&amp;G145</f>
        <v>(D.)低血糖。</v>
      </c>
      <c r="D149" s="2"/>
      <c r="E149" s="2"/>
      <c r="F149" s="2"/>
      <c r="G149" s="2"/>
      <c r="H149" s="2"/>
      <c r="I149" s="2"/>
    </row>
    <row r="150" spans="1:9" s="3" customFormat="1" x14ac:dyDescent="0.3">
      <c r="A150" s="2"/>
      <c r="B150" s="2"/>
      <c r="C150" s="7" t="str">
        <f>"答案是： "&amp;IF(H145="A",C146,IF(H145="B",C147,IF(H145="C",C148,IF(H145=("D"),C149,"XXXX"))))</f>
        <v>答案是： (A.)身體的熱無法排出。</v>
      </c>
      <c r="D150" s="2"/>
      <c r="E150" s="2"/>
      <c r="F150" s="2"/>
      <c r="G150" s="2"/>
      <c r="H150" s="2"/>
      <c r="I150" s="2"/>
    </row>
    <row r="151" spans="1:9" s="3" customFormat="1" ht="135" x14ac:dyDescent="0.3">
      <c r="A151" s="2"/>
      <c r="B151" s="2"/>
      <c r="C151" s="7" t="str">
        <f>"說明："&amp;I145</f>
        <v>說明：根據民航局學科教材內容之關聯性，高溫環境工作下若「充分的睡眠」不足（失眠），會顯著降低人體對熱環境的耐受力與體溫調節能力，成為誘發熱中暑的重要危險因子。
熱中暑的根本原因是身體產熱超過了散熱速度，導致體溫調節中樞失效，核心體溫飆升超過 40.5°C。這通常分為兩大類原因：「環境型中暑」（因無法散熱）與「勞動型中暑」（因體內產熱過多）。</v>
      </c>
      <c r="D151" s="2"/>
      <c r="E151" s="2"/>
      <c r="F151" s="2"/>
      <c r="G151" s="2"/>
      <c r="H151" s="2"/>
      <c r="I151" s="2"/>
    </row>
    <row r="152" spans="1:9" s="3" customFormat="1" ht="30" x14ac:dyDescent="0.3">
      <c r="A152" s="4" t="str">
        <f>dB題庫!A29</f>
        <v>28</v>
      </c>
      <c r="B152" s="4" t="str">
        <f>dB題庫!B29</f>
        <v>避免熱中暑的方法是採取下列哪個動作</v>
      </c>
      <c r="C152" s="4" t="str">
        <f t="shared" si="1"/>
        <v>28.避免熱中暑的方法是採取下列哪個動作</v>
      </c>
      <c r="D152" s="4" t="str">
        <f>dB題庫!C29</f>
        <v>勿飲酒過量。</v>
      </c>
      <c r="E152" s="4" t="str">
        <f>dB題庫!D29</f>
        <v>充分的睡眠。</v>
      </c>
      <c r="F152" s="4" t="str">
        <f>dB題庫!E29</f>
        <v>規律攝取足量水份。</v>
      </c>
      <c r="G152" s="4" t="str">
        <f>dB題庫!F29</f>
        <v>按時用餐。</v>
      </c>
      <c r="H152" s="4" t="str">
        <f>dB題庫!G29</f>
        <v>C</v>
      </c>
      <c r="I152" s="4" t="str">
        <f>dB題庫!H29</f>
        <v>在烈日或高溫環境下操作遙控無人機，預防熱中暑最有效的手段是「規律且足量地攝取水分」（配合補充電解質），協助身體正常排汗散熱。</v>
      </c>
    </row>
    <row r="153" spans="1:9" s="3" customFormat="1" x14ac:dyDescent="0.3">
      <c r="A153" s="2" t="s">
        <v>60</v>
      </c>
      <c r="B153" s="1"/>
      <c r="C153" s="7" t="str">
        <f>"(A.)"&amp;D152</f>
        <v>(A.)勿飲酒過量。</v>
      </c>
      <c r="D153" s="2"/>
      <c r="E153" s="2"/>
      <c r="F153" s="2"/>
      <c r="G153" s="2"/>
      <c r="H153" s="2"/>
      <c r="I153" s="2"/>
    </row>
    <row r="154" spans="1:9" s="3" customFormat="1" x14ac:dyDescent="0.3">
      <c r="A154" s="2"/>
      <c r="B154" s="1"/>
      <c r="C154" s="7" t="str">
        <f>"(B.)"&amp;E152</f>
        <v>(B.)充分的睡眠。</v>
      </c>
      <c r="D154" s="2"/>
      <c r="E154" s="2"/>
      <c r="F154" s="2"/>
      <c r="G154" s="2"/>
      <c r="H154" s="2"/>
      <c r="I154" s="2"/>
    </row>
    <row r="155" spans="1:9" s="3" customFormat="1" x14ac:dyDescent="0.3">
      <c r="A155" s="2"/>
      <c r="B155" s="2"/>
      <c r="C155" s="7" t="str">
        <f>"(C.)"&amp;F152</f>
        <v>(C.)規律攝取足量水份。</v>
      </c>
      <c r="D155" s="2"/>
      <c r="E155" s="2"/>
      <c r="F155" s="2"/>
      <c r="G155" s="2"/>
      <c r="H155" s="2"/>
      <c r="I155" s="2"/>
    </row>
    <row r="156" spans="1:9" s="3" customFormat="1" x14ac:dyDescent="0.3">
      <c r="A156" s="2"/>
      <c r="B156" s="2"/>
      <c r="C156" s="7" t="str">
        <f>"(D.)"&amp;G152</f>
        <v>(D.)按時用餐。</v>
      </c>
      <c r="D156" s="2"/>
      <c r="E156" s="2"/>
      <c r="F156" s="2"/>
      <c r="G156" s="2"/>
      <c r="H156" s="2"/>
      <c r="I156" s="2"/>
    </row>
    <row r="157" spans="1:9" s="3" customFormat="1" x14ac:dyDescent="0.3">
      <c r="A157" s="2"/>
      <c r="B157" s="2"/>
      <c r="C157" s="7" t="str">
        <f>"答案是： "&amp;IF(H152="A",C153,IF(H152="B",C154,IF(H152="C",C155,IF(H152=("D"),C156,"XXXX"))))</f>
        <v>答案是： (C.)規律攝取足量水份。</v>
      </c>
      <c r="D157" s="2"/>
      <c r="E157" s="2"/>
      <c r="F157" s="2"/>
      <c r="G157" s="2"/>
      <c r="H157" s="2"/>
      <c r="I157" s="2"/>
    </row>
    <row r="158" spans="1:9" s="3" customFormat="1" ht="60" x14ac:dyDescent="0.3">
      <c r="A158" s="2"/>
      <c r="B158" s="2"/>
      <c r="C158" s="7" t="str">
        <f>"說明："&amp;I152</f>
        <v>說明：在烈日或高溫環境下操作遙控無人機，預防熱中暑最有效的手段是「規律且足量地攝取水分」（配合補充電解質），協助身體正常排汗散熱。</v>
      </c>
      <c r="D158" s="2"/>
      <c r="E158" s="2"/>
      <c r="F158" s="2"/>
      <c r="G158" s="2"/>
      <c r="H158" s="2"/>
      <c r="I158" s="2"/>
    </row>
    <row r="159" spans="1:9" s="3" customFormat="1" ht="45" x14ac:dyDescent="0.3">
      <c r="A159" s="4" t="str">
        <f>dB題庫!A30</f>
        <v>29</v>
      </c>
      <c r="B159" s="4" t="str">
        <f>dB題庫!B30</f>
        <v>若遙控無人機操作人服用下列哪種藥物,可能會產生暈眩或是感知功能不全的情況</v>
      </c>
      <c r="C159" s="4" t="str">
        <f t="shared" si="1"/>
        <v>29.若遙控無人機操作人服用下列哪種藥物,可能會產生暈眩或是感知功能不全的情況</v>
      </c>
      <c r="D159" s="4" t="str">
        <f>dB題庫!C30</f>
        <v>成藥。</v>
      </c>
      <c r="E159" s="4" t="str">
        <f>dB題庫!D30</f>
        <v>抗組織胺。</v>
      </c>
      <c r="F159" s="4" t="str">
        <f>dB題庫!E30</f>
        <v>解除充血劑。</v>
      </c>
      <c r="G159" s="4" t="str">
        <f>dB題庫!F30</f>
        <v>以上皆是。</v>
      </c>
      <c r="H159" s="4" t="str">
        <f>dB題庫!G30</f>
        <v>D</v>
      </c>
      <c r="I159" s="4" t="str">
        <f>dB題庫!H30</f>
        <v>無論是一般藥局買到的成藥，或是醫師開立用於治療鼻塞、過敏的「抗組織胺」與「解除充血劑」，皆可能引起嗜睡、頭暈、空間感知力下降等副作用。</v>
      </c>
    </row>
    <row r="160" spans="1:9" s="3" customFormat="1" x14ac:dyDescent="0.3">
      <c r="A160" s="2" t="s">
        <v>60</v>
      </c>
      <c r="B160" s="1"/>
      <c r="C160" s="7" t="str">
        <f>"(A.)"&amp;D159</f>
        <v>(A.)成藥。</v>
      </c>
      <c r="D160" s="2"/>
      <c r="E160" s="2"/>
      <c r="F160" s="2"/>
      <c r="G160" s="2"/>
      <c r="H160" s="2"/>
      <c r="I160" s="2"/>
    </row>
    <row r="161" spans="1:9" s="3" customFormat="1" x14ac:dyDescent="0.3">
      <c r="A161" s="2"/>
      <c r="B161" s="1"/>
      <c r="C161" s="7" t="str">
        <f>"(B.)"&amp;E159</f>
        <v>(B.)抗組織胺。</v>
      </c>
      <c r="D161" s="2"/>
      <c r="E161" s="2"/>
      <c r="F161" s="2"/>
      <c r="G161" s="2"/>
      <c r="H161" s="2"/>
      <c r="I161" s="2"/>
    </row>
    <row r="162" spans="1:9" s="3" customFormat="1" x14ac:dyDescent="0.3">
      <c r="A162" s="2"/>
      <c r="B162" s="2"/>
      <c r="C162" s="7" t="str">
        <f>"(C.)"&amp;F159</f>
        <v>(C.)解除充血劑。</v>
      </c>
      <c r="D162" s="2"/>
      <c r="E162" s="2"/>
      <c r="F162" s="2"/>
      <c r="G162" s="2"/>
      <c r="H162" s="2"/>
      <c r="I162" s="2"/>
    </row>
    <row r="163" spans="1:9" s="3" customFormat="1" x14ac:dyDescent="0.3">
      <c r="A163" s="2"/>
      <c r="B163" s="2"/>
      <c r="C163" s="7" t="str">
        <f>"(D.)"&amp;G159</f>
        <v>(D.)以上皆是。</v>
      </c>
      <c r="D163" s="2"/>
      <c r="E163" s="2"/>
      <c r="F163" s="2"/>
      <c r="G163" s="2"/>
      <c r="H163" s="2"/>
      <c r="I163" s="2"/>
    </row>
    <row r="164" spans="1:9" s="3" customFormat="1" x14ac:dyDescent="0.3">
      <c r="A164" s="2"/>
      <c r="B164" s="2"/>
      <c r="C164" s="7" t="str">
        <f>"答案是： "&amp;IF(H159="A",C160,IF(H159="B",C161,IF(H159="C",C162,IF(H159=("D"),C163,"XXXX"))))</f>
        <v>答案是： (D.)以上皆是。</v>
      </c>
      <c r="D164" s="2"/>
      <c r="E164" s="2"/>
      <c r="F164" s="2"/>
      <c r="G164" s="2"/>
      <c r="H164" s="2"/>
      <c r="I164" s="2"/>
    </row>
    <row r="165" spans="1:9" s="3" customFormat="1" ht="60" x14ac:dyDescent="0.3">
      <c r="A165" s="2"/>
      <c r="B165" s="2"/>
      <c r="C165" s="7" t="str">
        <f>"說明："&amp;I159</f>
        <v>說明：無論是一般藥局買到的成藥，或是醫師開立用於治療鼻塞、過敏的「抗組織胺」與「解除充血劑」，皆可能引起嗜睡、頭暈、空間感知力下降等副作用。</v>
      </c>
      <c r="D165" s="2"/>
      <c r="E165" s="2"/>
      <c r="F165" s="2"/>
      <c r="G165" s="2"/>
      <c r="H165" s="2"/>
      <c r="I165" s="2"/>
    </row>
    <row r="166" spans="1:9" s="3" customFormat="1" ht="60" x14ac:dyDescent="0.3">
      <c r="A166" s="4" t="str">
        <f>dB題庫!A31</f>
        <v>30</v>
      </c>
      <c r="B166" s="4" t="str">
        <f>dB題庫!B31</f>
        <v>酒精可能對下列哪種狀況造成影響</v>
      </c>
      <c r="C166" s="4" t="str">
        <f t="shared" si="1"/>
        <v>30.酒精可能對下列哪種狀況造成影響</v>
      </c>
      <c r="D166" s="4" t="str">
        <f>dB題庫!C31</f>
        <v>影響操作及判斷、較難掌握周邊環境的變化。</v>
      </c>
      <c r="E166" s="4" t="str">
        <f>dB題庫!D31</f>
        <v>身體協調性變差、視界窄化。</v>
      </c>
      <c r="F166" s="4" t="str">
        <f>dB題庫!E31</f>
        <v>降低邏輯能力及注意力低落。</v>
      </c>
      <c r="G166" s="4" t="str">
        <f>dB題庫!F31</f>
        <v>以上皆是。</v>
      </c>
      <c r="H166" s="4" t="str">
        <f>dB題庫!G31</f>
        <v>D</v>
      </c>
      <c r="I166" s="4" t="str">
        <f>dB題庫!H31</f>
        <v>酒精屬於中樞神經抑制劑，攝入後會全面瓦解大腦與身體的功能，包括視線變窄、手腳不協調、反應遲鈍、邏輯思考能力與狀況警覺大幅降低。</v>
      </c>
    </row>
    <row r="167" spans="1:9" s="3" customFormat="1" ht="30" x14ac:dyDescent="0.3">
      <c r="A167" s="2" t="s">
        <v>60</v>
      </c>
      <c r="B167" s="1"/>
      <c r="C167" s="7" t="str">
        <f>"(A.)"&amp;D166</f>
        <v>(A.)影響操作及判斷、較難掌握周邊環境的變化。</v>
      </c>
      <c r="D167" s="2"/>
      <c r="E167" s="2"/>
      <c r="F167" s="2"/>
      <c r="G167" s="2"/>
      <c r="H167" s="2"/>
      <c r="I167" s="2"/>
    </row>
    <row r="168" spans="1:9" s="3" customFormat="1" x14ac:dyDescent="0.3">
      <c r="A168" s="2"/>
      <c r="B168" s="1"/>
      <c r="C168" s="7" t="str">
        <f>"(B.)"&amp;E166</f>
        <v>(B.)身體協調性變差、視界窄化。</v>
      </c>
      <c r="D168" s="2"/>
      <c r="E168" s="2"/>
      <c r="F168" s="2"/>
      <c r="G168" s="2"/>
      <c r="H168" s="2"/>
      <c r="I168" s="2"/>
    </row>
    <row r="169" spans="1:9" s="3" customFormat="1" x14ac:dyDescent="0.3">
      <c r="A169" s="2"/>
      <c r="B169" s="2"/>
      <c r="C169" s="7" t="str">
        <f>"(C.)"&amp;F166</f>
        <v>(C.)降低邏輯能力及注意力低落。</v>
      </c>
      <c r="D169" s="2"/>
      <c r="E169" s="2"/>
      <c r="F169" s="2"/>
      <c r="G169" s="2"/>
      <c r="H169" s="2"/>
      <c r="I169" s="2"/>
    </row>
    <row r="170" spans="1:9" s="3" customFormat="1" x14ac:dyDescent="0.3">
      <c r="A170" s="2"/>
      <c r="B170" s="2"/>
      <c r="C170" s="7" t="str">
        <f>"(D.)"&amp;G166</f>
        <v>(D.)以上皆是。</v>
      </c>
      <c r="D170" s="2"/>
      <c r="E170" s="2"/>
      <c r="F170" s="2"/>
      <c r="G170" s="2"/>
      <c r="H170" s="2"/>
      <c r="I170" s="2"/>
    </row>
    <row r="171" spans="1:9" s="3" customFormat="1" x14ac:dyDescent="0.3">
      <c r="A171" s="2"/>
      <c r="B171" s="2"/>
      <c r="C171" s="7" t="str">
        <f>"答案是： "&amp;IF(H166="A",C167,IF(H166="B",C168,IF(H166="C",C169,IF(H166=("D"),C170,"XXXX"))))</f>
        <v>答案是： (D.)以上皆是。</v>
      </c>
      <c r="D171" s="2"/>
      <c r="E171" s="2"/>
      <c r="F171" s="2"/>
      <c r="G171" s="2"/>
      <c r="H171" s="2"/>
      <c r="I171" s="2"/>
    </row>
    <row r="172" spans="1:9" s="3" customFormat="1" ht="60" x14ac:dyDescent="0.3">
      <c r="A172" s="2"/>
      <c r="B172" s="2"/>
      <c r="C172" s="7" t="str">
        <f>"說明："&amp;I166</f>
        <v>說明：酒精屬於中樞神經抑制劑，攝入後會全面瓦解大腦與身體的功能，包括視線變窄、手腳不協調、反應遲鈍、邏輯思考能力與狀況警覺大幅降低。</v>
      </c>
      <c r="D172" s="2"/>
      <c r="E172" s="2"/>
      <c r="F172" s="2"/>
      <c r="G172" s="2"/>
      <c r="H172" s="2"/>
      <c r="I172" s="2"/>
    </row>
    <row r="173" spans="1:9" s="3" customFormat="1" ht="45" x14ac:dyDescent="0.3">
      <c r="A173" s="4" t="str">
        <f>dB題庫!A32</f>
        <v>31</v>
      </c>
      <c r="B173" s="4" t="str">
        <f>dB題庫!B32</f>
        <v>在下列哪個時機,遙控無人機操作人應對遙控無人機進行起飛前檢查</v>
      </c>
      <c r="C173" s="4" t="str">
        <f t="shared" si="1"/>
        <v>31.在下列哪個時機,遙控無人機操作人應對遙控無人機進行起飛前檢查</v>
      </c>
      <c r="D173" s="4" t="str">
        <f>dB題庫!C32</f>
        <v>每次操作前。</v>
      </c>
      <c r="E173" s="4" t="str">
        <f>dB題庫!D32</f>
        <v>遙控無人機有明顯異狀時。</v>
      </c>
      <c r="F173" s="4" t="str">
        <f>dB題庫!E32</f>
        <v>天氣變壞時。</v>
      </c>
      <c r="G173" s="4" t="str">
        <f>dB題庫!F32</f>
        <v>操作人感覺不對時。</v>
      </c>
      <c r="H173" s="4" t="str">
        <f>dB題庫!G32</f>
        <v>A</v>
      </c>
      <c r="I173" s="4" t="str">
        <f>dB題庫!H32</f>
        <v>依據安全作業規範，飛行檢查表（Checklist）的使用不是憑感覺。為了確保不因疏忽而釀成事故，操作人必須在「每次操作飛行前」都嚴格執行起飛前檢查。</v>
      </c>
    </row>
    <row r="174" spans="1:9" s="3" customFormat="1" x14ac:dyDescent="0.3">
      <c r="A174" s="2" t="s">
        <v>60</v>
      </c>
      <c r="B174" s="1"/>
      <c r="C174" s="7" t="str">
        <f>"(A.)"&amp;D173</f>
        <v>(A.)每次操作前。</v>
      </c>
      <c r="D174" s="2"/>
      <c r="E174" s="2"/>
      <c r="F174" s="2"/>
      <c r="G174" s="2"/>
      <c r="H174" s="2"/>
      <c r="I174" s="2"/>
    </row>
    <row r="175" spans="1:9" s="3" customFormat="1" x14ac:dyDescent="0.3">
      <c r="A175" s="2"/>
      <c r="B175" s="1"/>
      <c r="C175" s="7" t="str">
        <f>"(B.)"&amp;E173</f>
        <v>(B.)遙控無人機有明顯異狀時。</v>
      </c>
      <c r="D175" s="2"/>
      <c r="E175" s="2"/>
      <c r="F175" s="2"/>
      <c r="G175" s="2"/>
      <c r="H175" s="2"/>
      <c r="I175" s="2"/>
    </row>
    <row r="176" spans="1:9" s="3" customFormat="1" x14ac:dyDescent="0.3">
      <c r="A176" s="2"/>
      <c r="B176" s="2"/>
      <c r="C176" s="7" t="str">
        <f>"(C.)"&amp;F173</f>
        <v>(C.)天氣變壞時。</v>
      </c>
      <c r="D176" s="2"/>
      <c r="E176" s="2"/>
      <c r="F176" s="2"/>
      <c r="G176" s="2"/>
      <c r="H176" s="2"/>
      <c r="I176" s="2"/>
    </row>
    <row r="177" spans="1:9" s="3" customFormat="1" x14ac:dyDescent="0.3">
      <c r="A177" s="2"/>
      <c r="B177" s="2"/>
      <c r="C177" s="7" t="str">
        <f>"(D.)"&amp;G173</f>
        <v>(D.)操作人感覺不對時。</v>
      </c>
      <c r="D177" s="2"/>
      <c r="E177" s="2"/>
      <c r="F177" s="2"/>
      <c r="G177" s="2"/>
      <c r="H177" s="2"/>
      <c r="I177" s="2"/>
    </row>
    <row r="178" spans="1:9" s="3" customFormat="1" x14ac:dyDescent="0.3">
      <c r="A178" s="2"/>
      <c r="B178" s="2"/>
      <c r="C178" s="7" t="str">
        <f>"答案是： "&amp;IF(H173="A",C174,IF(H173="B",C175,IF(H173="C",C176,IF(H173=("D"),C177,"XXXX"))))</f>
        <v>答案是： (A.)每次操作前。</v>
      </c>
      <c r="D178" s="2"/>
      <c r="E178" s="2"/>
      <c r="F178" s="2"/>
      <c r="G178" s="2"/>
      <c r="H178" s="2"/>
      <c r="I178" s="2"/>
    </row>
    <row r="179" spans="1:9" s="3" customFormat="1" ht="60" x14ac:dyDescent="0.3">
      <c r="A179" s="2"/>
      <c r="B179" s="2"/>
      <c r="C179" s="7" t="str">
        <f>"說明："&amp;I173</f>
        <v>說明：依據安全作業規範，飛行檢查表（Checklist）的使用不是憑感覺。為了確保不因疏忽而釀成事故，操作人必須在「每次操作飛行前」都嚴格執行起飛前檢查。</v>
      </c>
      <c r="D179" s="2"/>
      <c r="E179" s="2"/>
      <c r="F179" s="2"/>
      <c r="G179" s="2"/>
      <c r="H179" s="2"/>
      <c r="I179" s="2"/>
    </row>
    <row r="180" spans="1:9" s="3" customFormat="1" ht="75" x14ac:dyDescent="0.3">
      <c r="A180" s="4" t="str">
        <f>dB題庫!A33</f>
        <v>32</v>
      </c>
      <c r="B180" s="4" t="str">
        <f>dB題庫!B33</f>
        <v>遙控無人機起飛前檢查中发现任何異常狀況,應採取下列哪個動作</v>
      </c>
      <c r="C180" s="4" t="str">
        <f t="shared" si="1"/>
        <v>32.遙控無人機起飛前檢查中发现任何異常狀況,應採取下列哪個動作</v>
      </c>
      <c r="D180" s="4" t="str">
        <f>dB題庫!C33</f>
        <v>暫時忽略異常狀況,繼續操作。</v>
      </c>
      <c r="E180" s="4" t="str">
        <f>dB題庫!D33</f>
        <v>應立即修正以確保安全。</v>
      </c>
      <c r="F180" s="4" t="str">
        <f>dB題庫!E33</f>
        <v>記錄異常狀況就好,不必大驚小怪,繼續操作。</v>
      </c>
      <c r="G180" s="4" t="str">
        <f>dB題庫!F33</f>
        <v>任務重要就繼續操作,任務不重要就暫停操作。</v>
      </c>
      <c r="H180" s="4" t="str">
        <f>dB題庫!G33</f>
        <v>B</v>
      </c>
      <c r="I180" s="4" t="str">
        <f>dB題庫!H33</f>
        <v>飛行安全的底線是「零容忍」。起飛前檢查只要發現任何一項參數、結構或訊號異常，都必須「立即停飛並修正」至符合安全飛航標準，絕不容許帶故障強行起飛。</v>
      </c>
    </row>
    <row r="181" spans="1:9" s="3" customFormat="1" x14ac:dyDescent="0.3">
      <c r="A181" s="2" t="s">
        <v>60</v>
      </c>
      <c r="B181" s="1"/>
      <c r="C181" s="7" t="str">
        <f>"(A.)"&amp;D180</f>
        <v>(A.)暫時忽略異常狀況,繼續操作。</v>
      </c>
      <c r="D181" s="2"/>
      <c r="E181" s="2"/>
      <c r="F181" s="2"/>
      <c r="G181" s="2"/>
      <c r="H181" s="2"/>
      <c r="I181" s="2"/>
    </row>
    <row r="182" spans="1:9" s="3" customFormat="1" x14ac:dyDescent="0.3">
      <c r="A182" s="2"/>
      <c r="B182" s="1"/>
      <c r="C182" s="7" t="str">
        <f>"(B.)"&amp;E180</f>
        <v>(B.)應立即修正以確保安全。</v>
      </c>
      <c r="D182" s="2"/>
      <c r="E182" s="2"/>
      <c r="F182" s="2"/>
      <c r="G182" s="2"/>
      <c r="H182" s="2"/>
      <c r="I182" s="2"/>
    </row>
    <row r="183" spans="1:9" s="3" customFormat="1" ht="30" x14ac:dyDescent="0.3">
      <c r="A183" s="2"/>
      <c r="B183" s="2"/>
      <c r="C183" s="7" t="str">
        <f>"(C.)"&amp;F180</f>
        <v>(C.)記錄異常狀況就好,不必大驚小怪,繼續操作。</v>
      </c>
      <c r="D183" s="2"/>
      <c r="E183" s="2"/>
      <c r="F183" s="2"/>
      <c r="G183" s="2"/>
      <c r="H183" s="2"/>
      <c r="I183" s="2"/>
    </row>
    <row r="184" spans="1:9" s="3" customFormat="1" ht="30" x14ac:dyDescent="0.3">
      <c r="A184" s="2"/>
      <c r="B184" s="2"/>
      <c r="C184" s="7" t="str">
        <f>"(D.)"&amp;G180</f>
        <v>(D.)任務重要就繼續操作,任務不重要就暫停操作。</v>
      </c>
      <c r="D184" s="2"/>
      <c r="E184" s="2"/>
      <c r="F184" s="2"/>
      <c r="G184" s="2"/>
      <c r="H184" s="2"/>
      <c r="I184" s="2"/>
    </row>
    <row r="185" spans="1:9" s="3" customFormat="1" x14ac:dyDescent="0.3">
      <c r="A185" s="2"/>
      <c r="B185" s="2"/>
      <c r="C185" s="7" t="str">
        <f>"答案是： "&amp;IF(H180="A",C181,IF(H180="B",C182,IF(H180="C",C183,IF(H180=("D"),C184,"XXXX"))))</f>
        <v>答案是： (B.)應立即修正以確保安全。</v>
      </c>
      <c r="D185" s="2"/>
      <c r="E185" s="2"/>
      <c r="F185" s="2"/>
      <c r="G185" s="2"/>
      <c r="H185" s="2"/>
      <c r="I185" s="2"/>
    </row>
    <row r="186" spans="1:9" s="3" customFormat="1" ht="60" x14ac:dyDescent="0.3">
      <c r="A186" s="2"/>
      <c r="B186" s="2"/>
      <c r="C186" s="7" t="str">
        <f>"說明："&amp;I180</f>
        <v>說明：飛行安全的底線是「零容忍」。起飛前檢查只要發現任何一項參數、結構或訊號異常，都必須「立即停飛並修正」至符合安全飛航標準，絕不容許帶故障強行起飛。</v>
      </c>
      <c r="D186" s="2"/>
      <c r="E186" s="2"/>
      <c r="F186" s="2"/>
      <c r="G186" s="2"/>
      <c r="H186" s="2"/>
      <c r="I186" s="2"/>
    </row>
    <row r="187" spans="1:9" s="3" customFormat="1" ht="45" x14ac:dyDescent="0.3">
      <c r="A187" s="4" t="str">
        <f>dB題庫!A34</f>
        <v>33</v>
      </c>
      <c r="B187" s="4" t="str">
        <f>dB題庫!B34</f>
        <v>緊急落地可依類型區分為下列哪幾種</v>
      </c>
      <c r="C187" s="4" t="str">
        <f t="shared" si="1"/>
        <v>33.緊急落地可依類型區分為下列哪幾種</v>
      </c>
      <c r="D187" s="4" t="str">
        <f>dB題庫!C34</f>
        <v>迫降。</v>
      </c>
      <c r="E187" s="4" t="str">
        <f>dB題庫!D34</f>
        <v>預防性緊急著陸。</v>
      </c>
      <c r="F187" s="4" t="str">
        <f>dB題庫!E34</f>
        <v>水上迫降。</v>
      </c>
      <c r="G187" s="4" t="str">
        <f>dB題庫!F34</f>
        <v>以上皆是。</v>
      </c>
      <c r="H187" s="4" t="str">
        <f>dB題庫!G34</f>
        <v>D</v>
      </c>
      <c r="I187" s="4" t="str">
        <f>dB題庫!H34</f>
        <v>在航空器緊急處置程序中，緊急落地主要包含三種：因動力或控制系統完全失效導致的強制「迫降」；因天候惡化或發現潛在故障而主動選擇安全地點的「預防性緊急著陸」；以及在水面上進行的「水上迫降」。</v>
      </c>
    </row>
    <row r="188" spans="1:9" s="3" customFormat="1" x14ac:dyDescent="0.3">
      <c r="A188" s="2" t="s">
        <v>60</v>
      </c>
      <c r="B188" s="1"/>
      <c r="C188" s="7" t="str">
        <f>"(A.)"&amp;D187</f>
        <v>(A.)迫降。</v>
      </c>
      <c r="D188" s="2"/>
      <c r="E188" s="2"/>
      <c r="F188" s="2"/>
      <c r="G188" s="2"/>
      <c r="H188" s="2"/>
      <c r="I188" s="2"/>
    </row>
    <row r="189" spans="1:9" s="3" customFormat="1" x14ac:dyDescent="0.3">
      <c r="A189" s="2"/>
      <c r="B189" s="1"/>
      <c r="C189" s="7" t="str">
        <f>"(B.)"&amp;E187</f>
        <v>(B.)預防性緊急著陸。</v>
      </c>
      <c r="D189" s="2"/>
      <c r="E189" s="2"/>
      <c r="F189" s="2"/>
      <c r="G189" s="2"/>
      <c r="H189" s="2"/>
      <c r="I189" s="2"/>
    </row>
    <row r="190" spans="1:9" s="3" customFormat="1" x14ac:dyDescent="0.3">
      <c r="A190" s="2"/>
      <c r="B190" s="2"/>
      <c r="C190" s="7" t="str">
        <f>"(C.)"&amp;F187</f>
        <v>(C.)水上迫降。</v>
      </c>
      <c r="D190" s="2"/>
      <c r="E190" s="2"/>
      <c r="F190" s="2"/>
      <c r="G190" s="2"/>
      <c r="H190" s="2"/>
      <c r="I190" s="2"/>
    </row>
    <row r="191" spans="1:9" s="3" customFormat="1" x14ac:dyDescent="0.3">
      <c r="A191" s="2"/>
      <c r="B191" s="2"/>
      <c r="C191" s="7" t="str">
        <f>"(D.)"&amp;G187</f>
        <v>(D.)以上皆是。</v>
      </c>
      <c r="D191" s="2"/>
      <c r="E191" s="2"/>
      <c r="F191" s="2"/>
      <c r="G191" s="2"/>
      <c r="H191" s="2"/>
      <c r="I191" s="2"/>
    </row>
    <row r="192" spans="1:9" s="3" customFormat="1" x14ac:dyDescent="0.3">
      <c r="A192" s="2"/>
      <c r="B192" s="2"/>
      <c r="C192" s="7" t="str">
        <f>"答案是： "&amp;IF(H187="A",C188,IF(H187="B",C189,IF(H187="C",C190,IF(H187=("D"),C191,"XXXX"))))</f>
        <v>答案是： (D.)以上皆是。</v>
      </c>
      <c r="D192" s="2"/>
      <c r="E192" s="2"/>
      <c r="F192" s="2"/>
      <c r="G192" s="2"/>
      <c r="H192" s="2"/>
      <c r="I192" s="2"/>
    </row>
    <row r="193" spans="1:9" s="3" customFormat="1" ht="75" x14ac:dyDescent="0.3">
      <c r="A193" s="2"/>
      <c r="B193" s="2"/>
      <c r="C193" s="7" t="str">
        <f>"說明："&amp;I187</f>
        <v>說明：在航空器緊急處置程序中，緊急落地主要包含三種：因動力或控制系統完全失效導致的強制「迫降」；因天候惡化或發現潛在故障而主動選擇安全地點的「預防性緊急著陸」；以及在水面上進行的「水上迫降」。</v>
      </c>
      <c r="D193" s="2"/>
      <c r="E193" s="2"/>
      <c r="F193" s="2"/>
      <c r="G193" s="2"/>
      <c r="H193" s="2"/>
      <c r="I193" s="2"/>
    </row>
    <row r="194" spans="1:9" s="3" customFormat="1" ht="60" x14ac:dyDescent="0.3">
      <c r="A194" s="4" t="str">
        <f>dB題庫!A35</f>
        <v>34</v>
      </c>
      <c r="B194" s="4" t="str">
        <f>dB題庫!B35</f>
        <v>當面對緊急狀況時,若平時沒有熟悉緊急應變之處置程序,操作人可能會陷入下列哪種情境中</v>
      </c>
      <c r="C194" s="4" t="str">
        <f t="shared" si="1"/>
        <v>34.當面對緊急狀況時,若平時沒有熟悉緊急應變之處置程序,操作人可能會陷入下列哪種情境中</v>
      </c>
      <c r="D194" s="4" t="str">
        <f>dB題庫!C35</f>
        <v>遙控無人機即將墜地。</v>
      </c>
      <c r="E194" s="4" t="str">
        <f>dB題庫!D35</f>
        <v>遙控無人機不會出事。</v>
      </c>
      <c r="F194" s="4" t="str">
        <f>dB題庫!E35</f>
        <v>遙控無人機的緊急狀況會自動消失。</v>
      </c>
      <c r="G194" s="4" t="str">
        <f>dB題庫!F35</f>
        <v>遙控無人機會自動處理緊急狀況。</v>
      </c>
      <c r="H194" s="4" t="str">
        <f>dB題庫!G35</f>
        <v>A</v>
      </c>
      <c r="I194" s="4" t="str">
        <f>dB題庫!H35</f>
        <v>空中危機往往發生在電光石火之間。如果操作人平時不熟悉緊急處置檢查表（Emergency Procedures），一旦遇到斷訊或失控，往往會因驚慌失措而錯過黃金修正時間，直接導致「遙控無人機墜地事故」。</v>
      </c>
    </row>
    <row r="195" spans="1:9" s="3" customFormat="1" x14ac:dyDescent="0.3">
      <c r="A195" s="2" t="s">
        <v>60</v>
      </c>
      <c r="B195" s="1"/>
      <c r="C195" s="7" t="str">
        <f>"(A.)"&amp;D194</f>
        <v>(A.)遙控無人機即將墜地。</v>
      </c>
      <c r="D195" s="2"/>
      <c r="E195" s="2"/>
      <c r="F195" s="2"/>
      <c r="G195" s="2"/>
      <c r="H195" s="2"/>
      <c r="I195" s="2"/>
    </row>
    <row r="196" spans="1:9" s="3" customFormat="1" x14ac:dyDescent="0.3">
      <c r="A196" s="2"/>
      <c r="B196" s="1"/>
      <c r="C196" s="7" t="str">
        <f>"(B.)"&amp;E194</f>
        <v>(B.)遙控無人機不會出事。</v>
      </c>
      <c r="D196" s="2"/>
      <c r="E196" s="2"/>
      <c r="F196" s="2"/>
      <c r="G196" s="2"/>
      <c r="H196" s="2"/>
      <c r="I196" s="2"/>
    </row>
    <row r="197" spans="1:9" s="3" customFormat="1" x14ac:dyDescent="0.3">
      <c r="A197" s="2"/>
      <c r="B197" s="2"/>
      <c r="C197" s="7" t="str">
        <f>"(C.)"&amp;F194</f>
        <v>(C.)遙控無人機的緊急狀況會自動消失。</v>
      </c>
      <c r="D197" s="2"/>
      <c r="E197" s="2"/>
      <c r="F197" s="2"/>
      <c r="G197" s="2"/>
      <c r="H197" s="2"/>
      <c r="I197" s="2"/>
    </row>
    <row r="198" spans="1:9" s="3" customFormat="1" x14ac:dyDescent="0.3">
      <c r="A198" s="2"/>
      <c r="B198" s="2"/>
      <c r="C198" s="7" t="str">
        <f>"(D.)"&amp;G194</f>
        <v>(D.)遙控無人機會自動處理緊急狀況。</v>
      </c>
      <c r="D198" s="2"/>
      <c r="E198" s="2"/>
      <c r="F198" s="2"/>
      <c r="G198" s="2"/>
      <c r="H198" s="2"/>
      <c r="I198" s="2"/>
    </row>
    <row r="199" spans="1:9" s="3" customFormat="1" x14ac:dyDescent="0.3">
      <c r="A199" s="2"/>
      <c r="B199" s="2"/>
      <c r="C199" s="7" t="str">
        <f>"答案是： "&amp;IF(H194="A",C195,IF(H194="B",C196,IF(H194="C",C197,IF(H194=("D"),C198,"XXXX"))))</f>
        <v>答案是： (A.)遙控無人機即將墜地。</v>
      </c>
      <c r="D199" s="2"/>
      <c r="E199" s="2"/>
      <c r="F199" s="2"/>
      <c r="G199" s="2"/>
      <c r="H199" s="2"/>
      <c r="I199" s="2"/>
    </row>
    <row r="200" spans="1:9" s="3" customFormat="1" ht="75" x14ac:dyDescent="0.3">
      <c r="A200" s="2"/>
      <c r="B200" s="2"/>
      <c r="C200" s="7" t="str">
        <f>"說明："&amp;I194</f>
        <v>說明：空中危機往往發生在電光石火之間。如果操作人平時不熟悉緊急處置檢查表（Emergency Procedures），一旦遇到斷訊或失控，往往會因驚慌失措而錯過黃金修正時間，直接導致「遙控無人機墜地事故」。</v>
      </c>
      <c r="D200" s="2"/>
      <c r="E200" s="2"/>
      <c r="F200" s="2"/>
      <c r="G200" s="2"/>
      <c r="H200" s="2"/>
      <c r="I200" s="2"/>
    </row>
    <row r="201" spans="1:9" s="3" customFormat="1" ht="75" x14ac:dyDescent="0.3">
      <c r="A201" s="4" t="str">
        <f>dB題庫!A36</f>
        <v>35</v>
      </c>
      <c r="B201" s="4" t="str">
        <f>dB題庫!B36</f>
        <v>當遙控無人機發生異常或緊急事件時,應先穩定操作,掌握無人機位置及高度,再採取下列哪個動作</v>
      </c>
      <c r="C201" s="4" t="str">
        <f t="shared" si="1"/>
        <v>35.當遙控無人機發生異常或緊急事件時,應先穩定操作,掌握無人機位置及高度,再採取下列哪個動作</v>
      </c>
      <c r="D201" s="4" t="str">
        <f>dB題庫!C36</f>
        <v>通報有關機關。</v>
      </c>
      <c r="E201" s="4" t="str">
        <f>dB題庫!D36</f>
        <v>依檢查表,啟動或關閉相關裝備。</v>
      </c>
      <c r="F201" s="4" t="str">
        <f>dB題庫!E36</f>
        <v>尋找最佳的緊急落地處。</v>
      </c>
      <c r="G201" s="4" t="str">
        <f>dB題庫!F36</f>
        <v>以上皆是。</v>
      </c>
      <c r="H201" s="4" t="str">
        <f>dB題庫!G36</f>
        <v>C</v>
      </c>
      <c r="I201" s="4" t="str">
        <f>dB題庫!H36</f>
        <v>根據飛航緊急處置核心原則「飛行、導航、溝通」（Aviate, Navigate, Communicate），當無人機發生緊急異常時，首要任務是穩定飛行並掌握位置高度（Aviate &amp; Navigate），緊接著最重要的安全防禦措施就是立刻「尋找最佳的緊急落地處（如空曠無人區）」，以防砸傷地面人員，隨後才是執行檢查表與通報。</v>
      </c>
    </row>
    <row r="202" spans="1:9" s="3" customFormat="1" x14ac:dyDescent="0.3">
      <c r="A202" s="2" t="s">
        <v>60</v>
      </c>
      <c r="B202" s="1"/>
      <c r="C202" s="7" t="str">
        <f>"(A.)"&amp;D201</f>
        <v>(A.)通報有關機關。</v>
      </c>
      <c r="D202" s="2"/>
      <c r="E202" s="2"/>
      <c r="F202" s="2"/>
      <c r="G202" s="2"/>
      <c r="H202" s="2"/>
      <c r="I202" s="2"/>
    </row>
    <row r="203" spans="1:9" s="3" customFormat="1" x14ac:dyDescent="0.3">
      <c r="A203" s="2"/>
      <c r="B203" s="1"/>
      <c r="C203" s="7" t="str">
        <f>"(B.)"&amp;E201</f>
        <v>(B.)依檢查表,啟動或關閉相關裝備。</v>
      </c>
      <c r="D203" s="2"/>
      <c r="E203" s="2"/>
      <c r="F203" s="2"/>
      <c r="G203" s="2"/>
      <c r="H203" s="2"/>
      <c r="I203" s="2"/>
    </row>
    <row r="204" spans="1:9" s="3" customFormat="1" x14ac:dyDescent="0.3">
      <c r="A204" s="2"/>
      <c r="B204" s="2"/>
      <c r="C204" s="7" t="str">
        <f>"(C.)"&amp;F201</f>
        <v>(C.)尋找最佳的緊急落地處。</v>
      </c>
      <c r="D204" s="2"/>
      <c r="E204" s="2"/>
      <c r="F204" s="2"/>
      <c r="G204" s="2"/>
      <c r="H204" s="2"/>
      <c r="I204" s="2"/>
    </row>
    <row r="205" spans="1:9" s="3" customFormat="1" x14ac:dyDescent="0.3">
      <c r="A205" s="2"/>
      <c r="B205" s="2"/>
      <c r="C205" s="7" t="str">
        <f>"(D.)"&amp;G201</f>
        <v>(D.)以上皆是。</v>
      </c>
      <c r="D205" s="2"/>
      <c r="E205" s="2"/>
      <c r="F205" s="2"/>
      <c r="G205" s="2"/>
      <c r="H205" s="2"/>
      <c r="I205" s="2"/>
    </row>
    <row r="206" spans="1:9" s="3" customFormat="1" x14ac:dyDescent="0.3">
      <c r="A206" s="2"/>
      <c r="B206" s="2"/>
      <c r="C206" s="7" t="str">
        <f>"答案是： "&amp;IF(H201="A",C202,IF(H201="B",C203,IF(H201="C",C204,IF(H201=("D"),C205,"XXXX"))))</f>
        <v>答案是： (C.)尋找最佳的緊急落地處。</v>
      </c>
      <c r="D206" s="2"/>
      <c r="E206" s="2"/>
      <c r="F206" s="2"/>
      <c r="G206" s="2"/>
      <c r="H206" s="2"/>
      <c r="I206" s="2"/>
    </row>
    <row r="207" spans="1:9" s="3" customFormat="1" ht="105" x14ac:dyDescent="0.3">
      <c r="A207" s="2"/>
      <c r="B207" s="2"/>
      <c r="C207" s="7" t="str">
        <f>"說明："&amp;I201</f>
        <v>說明：根據飛航緊急處置核心原則「飛行、導航、溝通」（Aviate, Navigate, Communicate），當無人機發生緊急異常時，首要任務是穩定飛行並掌握位置高度（Aviate &amp; Navigate），緊接著最重要的安全防禦措施就是立刻「尋找最佳的緊急落地處（如空曠無人區）」，以防砸傷地面人員，隨後才是執行檢查表與通報。</v>
      </c>
      <c r="D207" s="2"/>
      <c r="E207" s="2"/>
      <c r="F207" s="2"/>
      <c r="G207" s="2"/>
      <c r="H207" s="2"/>
      <c r="I207" s="2"/>
    </row>
    <row r="208" spans="1:9" s="3" customFormat="1" ht="45" x14ac:dyDescent="0.3">
      <c r="A208" s="4" t="str">
        <f>dB題庫!A37</f>
        <v>36</v>
      </c>
      <c r="B208" s="4" t="str">
        <f>dB題庫!B37</f>
        <v>飛行決策是基於經驗的累積及判斷集合而成,著重於下列哪種決策方案</v>
      </c>
      <c r="C208" s="4" t="str">
        <f t="shared" si="1"/>
        <v>36.飛行決策是基於經驗的累積及判斷集合而成,著重於下列哪種決策方案</v>
      </c>
      <c r="D208" s="4" t="str">
        <f>dB題庫!C37</f>
        <v>學習決策方案。</v>
      </c>
      <c r="E208" s="4" t="str">
        <f>dB題庫!D37</f>
        <v>評估決策方案。</v>
      </c>
      <c r="F208" s="4" t="str">
        <f>dB題庫!E37</f>
        <v>選擇決策方案。</v>
      </c>
      <c r="G208" s="4" t="str">
        <f>dB題庫!F37</f>
        <v>以上皆是。</v>
      </c>
      <c r="H208" s="4" t="str">
        <f>dB題庫!G37</f>
        <v>D</v>
      </c>
      <c r="I208" s="4" t="str">
        <f>dB題庫!H37</f>
        <v>航空飛行決策（Aeronautical Decision Making, ADM）是一個動態的心智循環過程。它涵蓋了飛行員或操作人對各種突發情境的學習累積、對各種可能策略的評估、以及最終「選擇最安全決策方案」的綜合展現。</v>
      </c>
    </row>
    <row r="209" spans="1:9" s="3" customFormat="1" x14ac:dyDescent="0.3">
      <c r="A209" s="2" t="s">
        <v>60</v>
      </c>
      <c r="B209" s="1"/>
      <c r="C209" s="7" t="str">
        <f>"(A.)"&amp;D208</f>
        <v>(A.)學習決策方案。</v>
      </c>
      <c r="D209" s="2"/>
      <c r="E209" s="2"/>
      <c r="F209" s="2"/>
      <c r="G209" s="2"/>
      <c r="H209" s="2"/>
      <c r="I209" s="2"/>
    </row>
    <row r="210" spans="1:9" s="3" customFormat="1" x14ac:dyDescent="0.3">
      <c r="A210" s="2"/>
      <c r="B210" s="1"/>
      <c r="C210" s="7" t="str">
        <f>"(B.)"&amp;E208</f>
        <v>(B.)評估決策方案。</v>
      </c>
      <c r="D210" s="2"/>
      <c r="E210" s="2"/>
      <c r="F210" s="2"/>
      <c r="G210" s="2"/>
      <c r="H210" s="2"/>
      <c r="I210" s="2"/>
    </row>
    <row r="211" spans="1:9" s="3" customFormat="1" x14ac:dyDescent="0.3">
      <c r="A211" s="2"/>
      <c r="B211" s="2"/>
      <c r="C211" s="7" t="str">
        <f>"(C.)"&amp;F208</f>
        <v>(C.)選擇決策方案。</v>
      </c>
      <c r="D211" s="2"/>
      <c r="E211" s="2"/>
      <c r="F211" s="2"/>
      <c r="G211" s="2"/>
      <c r="H211" s="2"/>
      <c r="I211" s="2"/>
    </row>
    <row r="212" spans="1:9" s="3" customFormat="1" x14ac:dyDescent="0.3">
      <c r="A212" s="2"/>
      <c r="B212" s="2"/>
      <c r="C212" s="7" t="str">
        <f>"(D.)"&amp;G208</f>
        <v>(D.)以上皆是。</v>
      </c>
      <c r="D212" s="2"/>
      <c r="E212" s="2"/>
      <c r="F212" s="2"/>
      <c r="G212" s="2"/>
      <c r="H212" s="2"/>
      <c r="I212" s="2"/>
    </row>
    <row r="213" spans="1:9" s="3" customFormat="1" x14ac:dyDescent="0.3">
      <c r="A213" s="2"/>
      <c r="B213" s="2"/>
      <c r="C213" s="7" t="str">
        <f>"答案是： "&amp;IF(H208="A",C209,IF(H208="B",C210,IF(H208="C",C211,IF(H208=("D"),C212,"XXXX"))))</f>
        <v>答案是： (D.)以上皆是。</v>
      </c>
      <c r="D213" s="2"/>
      <c r="E213" s="2"/>
      <c r="F213" s="2"/>
      <c r="G213" s="2"/>
      <c r="H213" s="2"/>
      <c r="I213" s="2"/>
    </row>
    <row r="214" spans="1:9" s="3" customFormat="1" ht="75" x14ac:dyDescent="0.3">
      <c r="A214" s="2"/>
      <c r="B214" s="2"/>
      <c r="C214" s="7" t="str">
        <f>"說明："&amp;I208</f>
        <v>說明：航空飛行決策（Aeronautical Decision Making, ADM）是一個動態的心智循環過程。它涵蓋了飛行員或操作人對各種突發情境的學習累積、對各種可能策略的評估、以及最終「選擇最安全決策方案」的綜合展現。</v>
      </c>
      <c r="D214" s="2"/>
      <c r="E214" s="2"/>
      <c r="F214" s="2"/>
      <c r="G214" s="2"/>
      <c r="H214" s="2"/>
      <c r="I214" s="2"/>
    </row>
    <row r="215" spans="1:9" s="3" customFormat="1" ht="45" x14ac:dyDescent="0.3">
      <c r="A215" s="4" t="str">
        <f>dB題庫!A38</f>
        <v>37</v>
      </c>
      <c r="B215" s="4" t="str">
        <f>dB題庫!B38</f>
        <v>風險管理的目的是為能夠主動辨識與飛航安全有關的危害因子,並透過下列哪個手段降低到可接受之程度</v>
      </c>
      <c r="C215" s="4" t="str">
        <f t="shared" si="1"/>
        <v>37.風險管理的目的是為能夠主動辨識與飛航安全有關的危害因子,並透過下列哪個手段降低到可接受之程度</v>
      </c>
      <c r="D215" s="4" t="str">
        <f>dB題庫!C38</f>
        <v>迴避。</v>
      </c>
      <c r="E215" s="4" t="str">
        <f>dB題庫!D38</f>
        <v>減少。</v>
      </c>
      <c r="F215" s="4" t="str">
        <f>dB題庫!E38</f>
        <v>隔離。</v>
      </c>
      <c r="G215" s="4" t="str">
        <f>dB題庫!F38</f>
        <v>以上皆是。</v>
      </c>
      <c r="H215" s="4" t="str">
        <f>dB題庫!G38</f>
        <v>D</v>
      </c>
      <c r="I215" s="4" t="str">
        <f>dB題庫!H38</f>
        <v>風險管理（Risk Management）不是消極地面對危險，而是透過主動的危害辨識，採取包含「迴避風險」（如不飛禁航區）、「減少風險影響範圍」或「隔離危害因素」等多元控管手段，將飛安風險降低至安全許可的門檻內。</v>
      </c>
    </row>
    <row r="216" spans="1:9" s="3" customFormat="1" x14ac:dyDescent="0.3">
      <c r="A216" s="2" t="s">
        <v>60</v>
      </c>
      <c r="B216" s="1"/>
      <c r="C216" s="7" t="str">
        <f>"(A.)"&amp;D215</f>
        <v>(A.)迴避。</v>
      </c>
      <c r="D216" s="2"/>
      <c r="E216" s="2"/>
      <c r="F216" s="2"/>
      <c r="G216" s="2"/>
      <c r="H216" s="2"/>
      <c r="I216" s="2"/>
    </row>
    <row r="217" spans="1:9" s="3" customFormat="1" x14ac:dyDescent="0.3">
      <c r="A217" s="2"/>
      <c r="B217" s="1"/>
      <c r="C217" s="7" t="str">
        <f>"(B.)"&amp;E215</f>
        <v>(B.)減少。</v>
      </c>
      <c r="D217" s="2"/>
      <c r="E217" s="2"/>
      <c r="F217" s="2"/>
      <c r="G217" s="2"/>
      <c r="H217" s="2"/>
      <c r="I217" s="2"/>
    </row>
    <row r="218" spans="1:9" s="3" customFormat="1" x14ac:dyDescent="0.3">
      <c r="A218" s="2"/>
      <c r="B218" s="2"/>
      <c r="C218" s="7" t="str">
        <f>"(C.)"&amp;F215</f>
        <v>(C.)隔離。</v>
      </c>
      <c r="D218" s="2"/>
      <c r="E218" s="2"/>
      <c r="F218" s="2"/>
      <c r="G218" s="2"/>
      <c r="H218" s="2"/>
      <c r="I218" s="2"/>
    </row>
    <row r="219" spans="1:9" s="3" customFormat="1" x14ac:dyDescent="0.3">
      <c r="A219" s="2"/>
      <c r="B219" s="2"/>
      <c r="C219" s="7" t="str">
        <f>"(D.)"&amp;G215</f>
        <v>(D.)以上皆是。</v>
      </c>
      <c r="D219" s="2"/>
      <c r="E219" s="2"/>
      <c r="F219" s="2"/>
      <c r="G219" s="2"/>
      <c r="H219" s="2"/>
      <c r="I219" s="2"/>
    </row>
    <row r="220" spans="1:9" s="3" customFormat="1" x14ac:dyDescent="0.3">
      <c r="A220" s="2"/>
      <c r="B220" s="2"/>
      <c r="C220" s="7" t="str">
        <f>"答案是： "&amp;IF(H215="A",C216,IF(H215="B",C217,IF(H215="C",C218,IF(H215=("D"),C219,"XXXX"))))</f>
        <v>答案是： (D.)以上皆是。</v>
      </c>
      <c r="D220" s="2"/>
      <c r="E220" s="2"/>
      <c r="F220" s="2"/>
      <c r="G220" s="2"/>
      <c r="H220" s="2"/>
      <c r="I220" s="2"/>
    </row>
    <row r="221" spans="1:9" s="3" customFormat="1" ht="90" x14ac:dyDescent="0.3">
      <c r="A221" s="2"/>
      <c r="B221" s="2"/>
      <c r="C221" s="7" t="str">
        <f>"說明："&amp;I215</f>
        <v>說明：風險管理（Risk Management）不是消極地面對危險，而是透過主動的危害辨識，採取包含「迴避風險」（如不飛禁航區）、「減少風險影響範圍」或「隔離危害因素」等多元控管手段，將飛安風險降低至安全許可的門檻內。</v>
      </c>
      <c r="D221" s="2"/>
      <c r="E221" s="2"/>
      <c r="F221" s="2"/>
      <c r="G221" s="2"/>
      <c r="H221" s="2"/>
      <c r="I221" s="2"/>
    </row>
    <row r="222" spans="1:9" s="3" customFormat="1" ht="75" x14ac:dyDescent="0.3">
      <c r="A222" s="4" t="str">
        <f>dB題庫!A39</f>
        <v>38</v>
      </c>
      <c r="B222" s="4" t="str">
        <f>dB題庫!B39</f>
        <v>飛行決策的過程中應掌握下列哪個基本原則</v>
      </c>
      <c r="C222" s="4" t="str">
        <f t="shared" si="1"/>
        <v>38.飛行決策的過程中應掌握下列哪個基本原則</v>
      </c>
      <c r="D222" s="4" t="str">
        <f>dB題庫!C39</f>
        <v>不接受非相關的風險、將風險設定在合適的層級。</v>
      </c>
      <c r="E222" s="4" t="str">
        <f>dB題庫!D39</f>
        <v>在獲益超過危害時接受風險。</v>
      </c>
      <c r="F222" s="4" t="str">
        <f>dB題庫!E39</f>
        <v>將風險管理整合在飛行各階段的計劃過程中。</v>
      </c>
      <c r="G222" s="4" t="str">
        <f>dB題庫!F39</f>
        <v>以上皆是。</v>
      </c>
      <c r="H222" s="4" t="str">
        <f>dB題庫!G39</f>
        <v>D</v>
      </c>
      <c r="I222" s="4" t="str">
        <f>dB題庫!H39</f>
        <v>美國FAA與我國民航局所訂之風險管理基本原則包含：
第1. 不接受不必要的風險；
第2. 當任務獲益大於潛在危害時方可承擔適度風險；
第3. 決策層級要合適；
第4. 必須將風險管理全面整合在飛行的事前、事中、事後計畫中。</v>
      </c>
    </row>
    <row r="223" spans="1:9" s="3" customFormat="1" ht="30" x14ac:dyDescent="0.3">
      <c r="A223" s="2" t="s">
        <v>60</v>
      </c>
      <c r="B223" s="1"/>
      <c r="C223" s="7" t="str">
        <f>"(A.)"&amp;D222</f>
        <v>(A.)不接受非相關的風險、將風險設定在合適的層級。</v>
      </c>
      <c r="D223" s="2"/>
      <c r="E223" s="2"/>
      <c r="F223" s="2"/>
      <c r="G223" s="2"/>
      <c r="H223" s="2"/>
      <c r="I223" s="2"/>
    </row>
    <row r="224" spans="1:9" s="3" customFormat="1" x14ac:dyDescent="0.3">
      <c r="A224" s="2"/>
      <c r="B224" s="1"/>
      <c r="C224" s="7" t="str">
        <f>"(B.)"&amp;E222</f>
        <v>(B.)在獲益超過危害時接受風險。</v>
      </c>
      <c r="D224" s="2"/>
      <c r="E224" s="2"/>
      <c r="F224" s="2"/>
      <c r="G224" s="2"/>
      <c r="H224" s="2"/>
      <c r="I224" s="2"/>
    </row>
    <row r="225" spans="1:9" s="3" customFormat="1" ht="30" x14ac:dyDescent="0.3">
      <c r="A225" s="2"/>
      <c r="B225" s="2"/>
      <c r="C225" s="7" t="str">
        <f>"(C.)"&amp;F222</f>
        <v>(C.)將風險管理整合在飛行各階段的計劃過程中。</v>
      </c>
      <c r="D225" s="2"/>
      <c r="E225" s="2"/>
      <c r="F225" s="2"/>
      <c r="G225" s="2"/>
      <c r="H225" s="2"/>
      <c r="I225" s="2"/>
    </row>
    <row r="226" spans="1:9" s="3" customFormat="1" x14ac:dyDescent="0.3">
      <c r="A226" s="2"/>
      <c r="B226" s="2"/>
      <c r="C226" s="7" t="str">
        <f>"(D.)"&amp;G222</f>
        <v>(D.)以上皆是。</v>
      </c>
      <c r="D226" s="2"/>
      <c r="E226" s="2"/>
      <c r="F226" s="2"/>
      <c r="G226" s="2"/>
      <c r="H226" s="2"/>
      <c r="I226" s="2"/>
    </row>
    <row r="227" spans="1:9" s="3" customFormat="1" x14ac:dyDescent="0.3">
      <c r="A227" s="2"/>
      <c r="B227" s="2"/>
      <c r="C227" s="7" t="str">
        <f>"答案是： "&amp;IF(H222="A",C223,IF(H222="B",C224,IF(H222="C",C225,IF(H222=("D"),C226,"XXXX"))))</f>
        <v>答案是： (D.)以上皆是。</v>
      </c>
      <c r="D227" s="2"/>
      <c r="E227" s="2"/>
      <c r="F227" s="2"/>
      <c r="G227" s="2"/>
      <c r="H227" s="2"/>
      <c r="I227" s="2"/>
    </row>
    <row r="228" spans="1:9" s="3" customFormat="1" ht="75" x14ac:dyDescent="0.3">
      <c r="A228" s="2"/>
      <c r="B228" s="2"/>
      <c r="C228" s="7" t="str">
        <f>"說明："&amp;I222</f>
        <v>說明：美國FAA與我國民航局所訂之風險管理基本原則包含：
第1. 不接受不必要的風險；
第2. 當任務獲益大於潛在危害時方可承擔適度風險；
第3. 決策層級要合適；
第4. 必須將風險管理全面整合在飛行的事前、事中、事後計畫中。</v>
      </c>
      <c r="D228" s="2"/>
      <c r="E228" s="2"/>
      <c r="F228" s="2"/>
      <c r="G228" s="2"/>
      <c r="H228" s="2"/>
      <c r="I228" s="2"/>
    </row>
    <row r="229" spans="1:9" s="3" customFormat="1" ht="60" x14ac:dyDescent="0.3">
      <c r="A229" s="4" t="str">
        <f>dB題庫!A40</f>
        <v>39</v>
      </c>
      <c r="B229" s="4" t="str">
        <f>dB題庫!B40</f>
        <v>操作人執行遙控無人機操作時,下列哪種心態干擾會降低飛行決策的品質</v>
      </c>
      <c r="C229" s="4" t="str">
        <f t="shared" si="1"/>
        <v>39.操作人執行遙控無人機操作時,下列哪種心態干擾會降低飛行決策的品質</v>
      </c>
      <c r="D229" s="4" t="str">
        <f>dB題庫!C40</f>
        <v>反威權、衝動及僥倖。</v>
      </c>
      <c r="E229" s="4" t="str">
        <f>dB題庫!D40</f>
        <v>衝動、僥倖及服從。</v>
      </c>
      <c r="F229" s="4" t="str">
        <f>dB題庫!E40</f>
        <v>英雄主義及積極順應。</v>
      </c>
      <c r="G229" s="4" t="str">
        <f>dB題庫!F40</f>
        <v>以上皆是。</v>
      </c>
      <c r="H229" s="4" t="str">
        <f>dB題庫!G40</f>
        <v>A</v>
      </c>
      <c r="I229" s="4" t="str">
        <f>dB題庫!H40</f>
        <v>航空安全上著名的「五大危險飛行心態」（Hazardous Attitudes）包含：反威權（Anti-authority）、衝動（Impulsivity）、僥倖（Invulnerability）、大男人/英雄主義（Macho）以及消極服從/聽天由命（Resignation）。這些心態會嚴重扭曲判斷力，大幅降低飛行決策品質。
--
根據交通部民用航空局發布的《遙控無人機學科測驗規範》，研究指出共有 5 種危險心態干擾會顯著降低飛行決策的品質，分別為：反威權、衝動、僥倖、英雄主義、消極順應。
因此，本題選項：
選項 (A) 反威權、衝動及僥倖：此選項內的三種心態完全符合民航局規範的危險心態干擾，為正確答案。
選項(B) 衝動、僥倖及服從：「服從」並非降低決策品質的危險心態，故此選項錯誤。
選項(C) 英雄主義及積極順應：規範中的危險心態是「消極順應」（盲目聽從他人），而非「積極順應」，故此選項錯誤。</v>
      </c>
    </row>
    <row r="230" spans="1:9" s="3" customFormat="1" x14ac:dyDescent="0.3">
      <c r="A230" s="2" t="s">
        <v>60</v>
      </c>
      <c r="B230" s="1"/>
      <c r="C230" s="7" t="str">
        <f>"(A.)"&amp;D229</f>
        <v>(A.)反威權、衝動及僥倖。</v>
      </c>
      <c r="D230" s="2"/>
      <c r="E230" s="2"/>
      <c r="F230" s="2"/>
      <c r="G230" s="2"/>
      <c r="H230" s="2"/>
      <c r="I230" s="2"/>
    </row>
    <row r="231" spans="1:9" s="3" customFormat="1" x14ac:dyDescent="0.3">
      <c r="A231" s="2"/>
      <c r="B231" s="1"/>
      <c r="C231" s="7" t="str">
        <f>"(B.)"&amp;E229</f>
        <v>(B.)衝動、僥倖及服從。</v>
      </c>
      <c r="D231" s="2"/>
      <c r="E231" s="2"/>
      <c r="F231" s="2"/>
      <c r="G231" s="2"/>
      <c r="H231" s="2"/>
      <c r="I231" s="2"/>
    </row>
    <row r="232" spans="1:9" s="3" customFormat="1" x14ac:dyDescent="0.3">
      <c r="A232" s="2"/>
      <c r="B232" s="2"/>
      <c r="C232" s="7" t="str">
        <f>"(C.)"&amp;F229</f>
        <v>(C.)英雄主義及積極順應。</v>
      </c>
      <c r="D232" s="2"/>
      <c r="E232" s="2"/>
      <c r="F232" s="2"/>
      <c r="G232" s="2"/>
      <c r="H232" s="2"/>
      <c r="I232" s="2"/>
    </row>
    <row r="233" spans="1:9" s="3" customFormat="1" x14ac:dyDescent="0.3">
      <c r="A233" s="2"/>
      <c r="B233" s="2"/>
      <c r="C233" s="7" t="str">
        <f>"(D.)"&amp;G229</f>
        <v>(D.)以上皆是。</v>
      </c>
      <c r="D233" s="2"/>
      <c r="E233" s="2"/>
      <c r="F233" s="2"/>
      <c r="G233" s="2"/>
      <c r="H233" s="2"/>
      <c r="I233" s="2"/>
    </row>
    <row r="234" spans="1:9" s="3" customFormat="1" x14ac:dyDescent="0.3">
      <c r="A234" s="2"/>
      <c r="B234" s="2"/>
      <c r="C234" s="7" t="str">
        <f>"答案是： "&amp;IF(H229="A",C230,IF(H229="B",C231,IF(H229="C",C232,IF(H229=("D"),C233,"XXXX"))))</f>
        <v>答案是： (A.)反威權、衝動及僥倖。</v>
      </c>
      <c r="D234" s="2"/>
      <c r="E234" s="2"/>
      <c r="F234" s="2"/>
      <c r="G234" s="2"/>
      <c r="H234" s="2"/>
      <c r="I234" s="2"/>
    </row>
    <row r="235" spans="1:9" s="3" customFormat="1" ht="90" x14ac:dyDescent="0.3">
      <c r="A235" s="2"/>
      <c r="B235" s="2"/>
      <c r="C235" s="7" t="str">
        <f>"說明："&amp;I229</f>
        <v>說明：航空安全上著名的「五大危險飛行心態」（Hazardous Attitudes）包含：反威權（Anti-authority）、衝動（Impulsivity）、僥倖（Invulnerability）、大男人/英雄主義（Macho）以及消極服從/聽天由命（Resignation）。這些心態會嚴重扭曲判斷力，大幅降低飛行決策品質。
--
根據交通部民用航空局發布的《遙控無人機學科測驗規範》，研究指出共有 5 種危險心態干擾會顯著降低飛行決策的品質，分別為：反威權、衝動、僥倖、英雄主義、消極順應。
因此，本題選項：
選項 (A) 反威權、衝動及僥倖：此選項內的三種心態完全符合民航局規範的危險心態干擾，為正確答案。
選項(B) 衝動、僥倖及服從：「服從」並非降低決策品質的危險心態，故此選項錯誤。
選項(C) 英雄主義及積極順應：規範中的危險心態是「消極順應」（盲目聽從他人），而非「積極順應」，故此選項錯誤。</v>
      </c>
      <c r="D235" s="2"/>
      <c r="E235" s="2"/>
      <c r="F235" s="2"/>
      <c r="G235" s="2"/>
      <c r="H235" s="2"/>
      <c r="I235" s="2"/>
    </row>
    <row r="236" spans="1:9" s="3" customFormat="1" ht="45" x14ac:dyDescent="0.3">
      <c r="A236" s="4" t="str">
        <f>dB題庫!A41</f>
        <v>40</v>
      </c>
      <c r="B236" s="4" t="str">
        <f>dB題庫!B41</f>
        <v>遙控無人機操作人降低風險的方法,包括下列哪種</v>
      </c>
      <c r="C236" s="4" t="str">
        <f t="shared" si="1"/>
        <v>40.遙控無人機操作人降低風險的方法,包括下列哪種</v>
      </c>
      <c r="D236" s="4" t="str">
        <f>dB題庫!C41</f>
        <v>辨識己身風險。</v>
      </c>
      <c r="E236" s="4" t="str">
        <f>dB題庫!D41</f>
        <v>預知己身風險。</v>
      </c>
      <c r="F236" s="4" t="str">
        <f>dB題庫!E41</f>
        <v>覺察己身風險。</v>
      </c>
      <c r="G236" s="4" t="str">
        <f>dB題庫!F41</f>
        <v>以上皆是。</v>
      </c>
      <c r="H236" s="4" t="str">
        <f>dB題庫!G41</f>
        <v>D</v>
      </c>
      <c r="I236" s="4" t="str">
        <f>dB題庫!H41</f>
        <v>操作人要有效落實風險控管，必須在飛行全程展現良好的狀況警覺，具備「辨識」當前危害、「覺察」環境風險轉變，以及「預知」未來潛在風險發展趨勢的能力。</v>
      </c>
    </row>
    <row r="237" spans="1:9" s="3" customFormat="1" x14ac:dyDescent="0.3">
      <c r="A237" s="2" t="s">
        <v>60</v>
      </c>
      <c r="B237" s="1"/>
      <c r="C237" s="7" t="str">
        <f>"(A.)"&amp;D236</f>
        <v>(A.)辨識己身風險。</v>
      </c>
      <c r="D237" s="2"/>
      <c r="E237" s="2"/>
      <c r="F237" s="2"/>
      <c r="G237" s="2"/>
      <c r="H237" s="2"/>
      <c r="I237" s="2"/>
    </row>
    <row r="238" spans="1:9" s="3" customFormat="1" x14ac:dyDescent="0.3">
      <c r="A238" s="2"/>
      <c r="B238" s="1"/>
      <c r="C238" s="7" t="str">
        <f>"(B.)"&amp;E236</f>
        <v>(B.)預知己身風險。</v>
      </c>
      <c r="D238" s="2"/>
      <c r="E238" s="2"/>
      <c r="F238" s="2"/>
      <c r="G238" s="2"/>
      <c r="H238" s="2"/>
      <c r="I238" s="2"/>
    </row>
    <row r="239" spans="1:9" s="3" customFormat="1" x14ac:dyDescent="0.3">
      <c r="A239" s="2"/>
      <c r="B239" s="2"/>
      <c r="C239" s="7" t="str">
        <f>"(C.)"&amp;F236</f>
        <v>(C.)覺察己身風險。</v>
      </c>
      <c r="D239" s="2"/>
      <c r="E239" s="2"/>
      <c r="F239" s="2"/>
      <c r="G239" s="2"/>
      <c r="H239" s="2"/>
      <c r="I239" s="2"/>
    </row>
    <row r="240" spans="1:9" s="3" customFormat="1" x14ac:dyDescent="0.3">
      <c r="A240" s="2"/>
      <c r="B240" s="2"/>
      <c r="C240" s="7" t="str">
        <f>"(D.)"&amp;G236</f>
        <v>(D.)以上皆是。</v>
      </c>
      <c r="D240" s="2"/>
      <c r="E240" s="2"/>
      <c r="F240" s="2"/>
      <c r="G240" s="2"/>
      <c r="H240" s="2"/>
      <c r="I240" s="2"/>
    </row>
    <row r="241" spans="1:9" s="3" customFormat="1" x14ac:dyDescent="0.3">
      <c r="A241" s="2"/>
      <c r="B241" s="2"/>
      <c r="C241" s="7" t="str">
        <f>"答案是： "&amp;IF(H236="A",C237,IF(H236="B",C238,IF(H236="C",C239,IF(H236=("D"),C240,"XXXX"))))</f>
        <v>答案是： (D.)以上皆是。</v>
      </c>
      <c r="D241" s="2"/>
      <c r="E241" s="2"/>
      <c r="F241" s="2"/>
      <c r="G241" s="2"/>
      <c r="H241" s="2"/>
      <c r="I241" s="2"/>
    </row>
    <row r="242" spans="1:9" s="3" customFormat="1" ht="60" x14ac:dyDescent="0.3">
      <c r="A242" s="2"/>
      <c r="B242" s="2"/>
      <c r="C242" s="7" t="str">
        <f>"說明："&amp;I236</f>
        <v>說明：操作人要有效落實風險控管，必須在飛行全程展現良好的狀況警覺，具備「辨識」當前危害、「覺察」環境風險轉變，以及「預知」未來潛在風險發展趨勢的能力。</v>
      </c>
      <c r="D242" s="2"/>
      <c r="E242" s="2"/>
      <c r="F242" s="2"/>
      <c r="G242" s="2"/>
      <c r="H242" s="2"/>
      <c r="I242" s="2"/>
    </row>
    <row r="243" spans="1:9" s="3" customFormat="1" ht="45" x14ac:dyDescent="0.3">
      <c r="A243" s="4" t="str">
        <f>dB題庫!A42</f>
        <v>41</v>
      </c>
      <c r="B243" s="4" t="str">
        <f>dB題庫!B42</f>
        <v>下列哪個因素與飛航安全密切相關,已成為維修部門及飛航管理部門關切的焦點</v>
      </c>
      <c r="C243" s="4" t="str">
        <f t="shared" si="1"/>
        <v>41.下列哪個因素與飛航安全密切相關,已成為維修部門及飛航管理部門關切的焦點</v>
      </c>
      <c r="D243" s="4" t="str">
        <f>dB題庫!C42</f>
        <v>政治因素。</v>
      </c>
      <c r="E243" s="4" t="str">
        <f>dB題庫!D42</f>
        <v>人為因素。</v>
      </c>
      <c r="F243" s="4" t="str">
        <f>dB題庫!E42</f>
        <v>社會因素。</v>
      </c>
      <c r="G243" s="4" t="str">
        <f>dB題庫!F42</f>
        <v>經濟因素。</v>
      </c>
      <c r="H243" s="4" t="str">
        <f>dB題庫!G42</f>
        <v>B</v>
      </c>
      <c r="I243" s="4" t="str">
        <f>dB題庫!H42</f>
        <v>根據全球統計，超過七成以上的航空與無人機事故皆源於「人為因素」（Human Factors），例如操作疏忽、決策錯誤、疲勞或溝通不良。因此，這早已成為維修與飛航管理部門提升安全防禦的最核心焦點。</v>
      </c>
    </row>
    <row r="244" spans="1:9" s="3" customFormat="1" x14ac:dyDescent="0.3">
      <c r="A244" s="2" t="s">
        <v>60</v>
      </c>
      <c r="B244" s="1"/>
      <c r="C244" s="7" t="str">
        <f>"(A.)"&amp;D243</f>
        <v>(A.)政治因素。</v>
      </c>
      <c r="D244" s="2"/>
      <c r="E244" s="2"/>
      <c r="F244" s="2"/>
      <c r="G244" s="2"/>
      <c r="H244" s="2"/>
      <c r="I244" s="2"/>
    </row>
    <row r="245" spans="1:9" s="3" customFormat="1" x14ac:dyDescent="0.3">
      <c r="A245" s="2"/>
      <c r="B245" s="1"/>
      <c r="C245" s="7" t="str">
        <f>"(B.)"&amp;E243</f>
        <v>(B.)人為因素。</v>
      </c>
      <c r="D245" s="2"/>
      <c r="E245" s="2"/>
      <c r="F245" s="2"/>
      <c r="G245" s="2"/>
      <c r="H245" s="2"/>
      <c r="I245" s="2"/>
    </row>
    <row r="246" spans="1:9" s="3" customFormat="1" x14ac:dyDescent="0.3">
      <c r="A246" s="2"/>
      <c r="B246" s="2"/>
      <c r="C246" s="7" t="str">
        <f>"(C.)"&amp;F243</f>
        <v>(C.)社會因素。</v>
      </c>
      <c r="D246" s="2"/>
      <c r="E246" s="2"/>
      <c r="F246" s="2"/>
      <c r="G246" s="2"/>
      <c r="H246" s="2"/>
      <c r="I246" s="2"/>
    </row>
    <row r="247" spans="1:9" s="3" customFormat="1" x14ac:dyDescent="0.3">
      <c r="A247" s="2"/>
      <c r="B247" s="2"/>
      <c r="C247" s="7" t="str">
        <f>"(D.)"&amp;G243</f>
        <v>(D.)經濟因素。</v>
      </c>
      <c r="D247" s="2"/>
      <c r="E247" s="2"/>
      <c r="F247" s="2"/>
      <c r="G247" s="2"/>
      <c r="H247" s="2"/>
      <c r="I247" s="2"/>
    </row>
    <row r="248" spans="1:9" s="3" customFormat="1" x14ac:dyDescent="0.3">
      <c r="A248" s="2"/>
      <c r="B248" s="2"/>
      <c r="C248" s="7" t="str">
        <f>"答案是： "&amp;IF(H243="A",C244,IF(H243="B",C245,IF(H243="C",C246,IF(H243=("D"),C247,"XXXX"))))</f>
        <v>答案是： (B.)人為因素。</v>
      </c>
      <c r="D248" s="2"/>
      <c r="E248" s="2"/>
      <c r="F248" s="2"/>
      <c r="G248" s="2"/>
      <c r="H248" s="2"/>
      <c r="I248" s="2"/>
    </row>
    <row r="249" spans="1:9" s="3" customFormat="1" ht="75" x14ac:dyDescent="0.3">
      <c r="A249" s="2"/>
      <c r="B249" s="2"/>
      <c r="C249" s="7" t="str">
        <f>"說明："&amp;I243</f>
        <v>說明：根據全球統計，超過七成以上的航空與無人機事故皆源於「人為因素」（Human Factors），例如操作疏忽、決策錯誤、疲勞或溝通不良。因此，這早已成為維修與飛航管理部門提升安全防禦的最核心焦點。</v>
      </c>
      <c r="D249" s="2"/>
      <c r="E249" s="2"/>
      <c r="F249" s="2"/>
      <c r="G249" s="2"/>
      <c r="H249" s="2"/>
      <c r="I249" s="2"/>
    </row>
    <row r="250" spans="1:9" s="3" customFormat="1" ht="60" x14ac:dyDescent="0.3">
      <c r="A250" s="4" t="str">
        <f>dB題庫!A43</f>
        <v>42</v>
      </c>
      <c r="B250" s="4" t="str">
        <f>dB題庫!B43</f>
        <v>自動決策模式基本上是一種反射性的模式,其形成的重要基礎是下列哪種方式</v>
      </c>
      <c r="C250" s="4" t="str">
        <f t="shared" si="1"/>
        <v>42.自動決策模式基本上是一種反射性的模式,其形成的重要基礎是下列哪種方式</v>
      </c>
      <c r="D250" s="4" t="str">
        <f>dB題庫!C43</f>
        <v>大量的訓練及經驗。</v>
      </c>
      <c r="E250" s="4" t="str">
        <f>dB題庫!D43</f>
        <v>擴大參與人數。</v>
      </c>
      <c r="F250" s="4" t="str">
        <f>dB題庫!E43</f>
        <v>正確的政治指導。</v>
      </c>
      <c r="G250" s="4" t="str">
        <f>dB題庫!F43</f>
        <v>高深的哲學思想。</v>
      </c>
      <c r="H250" s="4" t="str">
        <f>dB題庫!G43</f>
        <v>A</v>
      </c>
      <c r="I250" s="4" t="str">
        <f>dB題庫!H43</f>
        <v>自動決策模式（Naturalistic / Recognition-Primed Decision Making）是指在極短時間（如空中緊急斷訊、突然遭遇障礙物）下，大腦不經過冗長的邏輯推理，直接做出的正確反射性處置。這種反射能力完全仰賴於平時「大量的模擬訓練與豐富的實務操作經驗」。</v>
      </c>
    </row>
    <row r="251" spans="1:9" s="3" customFormat="1" x14ac:dyDescent="0.3">
      <c r="A251" s="2" t="s">
        <v>60</v>
      </c>
      <c r="B251" s="1"/>
      <c r="C251" s="7" t="str">
        <f>"(A.)"&amp;D250</f>
        <v>(A.)大量的訓練及經驗。</v>
      </c>
      <c r="D251" s="2"/>
      <c r="E251" s="2"/>
      <c r="F251" s="2"/>
      <c r="G251" s="2"/>
      <c r="H251" s="2"/>
      <c r="I251" s="2"/>
    </row>
    <row r="252" spans="1:9" s="3" customFormat="1" x14ac:dyDescent="0.3">
      <c r="A252" s="2"/>
      <c r="B252" s="1"/>
      <c r="C252" s="7" t="str">
        <f>"(B.)"&amp;E250</f>
        <v>(B.)擴大參與人數。</v>
      </c>
      <c r="D252" s="2"/>
      <c r="E252" s="2"/>
      <c r="F252" s="2"/>
      <c r="G252" s="2"/>
      <c r="H252" s="2"/>
      <c r="I252" s="2"/>
    </row>
    <row r="253" spans="1:9" s="3" customFormat="1" x14ac:dyDescent="0.3">
      <c r="A253" s="2"/>
      <c r="B253" s="2"/>
      <c r="C253" s="7" t="str">
        <f>"(C.)"&amp;F250</f>
        <v>(C.)正確的政治指導。</v>
      </c>
      <c r="D253" s="2"/>
      <c r="E253" s="2"/>
      <c r="F253" s="2"/>
      <c r="G253" s="2"/>
      <c r="H253" s="2"/>
      <c r="I253" s="2"/>
    </row>
    <row r="254" spans="1:9" s="3" customFormat="1" x14ac:dyDescent="0.3">
      <c r="A254" s="2"/>
      <c r="B254" s="2"/>
      <c r="C254" s="7" t="str">
        <f>"(D.)"&amp;G250</f>
        <v>(D.)高深的哲學思想。</v>
      </c>
      <c r="D254" s="2"/>
      <c r="E254" s="2"/>
      <c r="F254" s="2"/>
      <c r="G254" s="2"/>
      <c r="H254" s="2"/>
      <c r="I254" s="2"/>
    </row>
    <row r="255" spans="1:9" s="3" customFormat="1" x14ac:dyDescent="0.3">
      <c r="A255" s="2"/>
      <c r="B255" s="2"/>
      <c r="C255" s="7" t="str">
        <f>"答案是： "&amp;IF(H250="A",C251,IF(H250="B",C252,IF(H250="C",C253,IF(H250=("D"),C254,"XXXX"))))</f>
        <v>答案是： (A.)大量的訓練及經驗。</v>
      </c>
      <c r="D255" s="2"/>
      <c r="E255" s="2"/>
      <c r="F255" s="2"/>
      <c r="G255" s="2"/>
      <c r="H255" s="2"/>
      <c r="I255" s="2"/>
    </row>
    <row r="256" spans="1:9" s="3" customFormat="1" ht="90" x14ac:dyDescent="0.3">
      <c r="A256" s="2"/>
      <c r="B256" s="2"/>
      <c r="C256" s="7" t="str">
        <f>"說明："&amp;I250</f>
        <v>說明：自動決策模式（Naturalistic / Recognition-Primed Decision Making）是指在極短時間（如空中緊急斷訊、突然遭遇障礙物）下，大腦不經過冗長的邏輯推理，直接做出的正確反射性處置。這種反射能力完全仰賴於平時「大量的模擬訓練與豐富的實務操作經驗」。</v>
      </c>
      <c r="D256" s="2"/>
      <c r="E256" s="2"/>
      <c r="F256" s="2"/>
      <c r="G256" s="2"/>
      <c r="H256" s="2"/>
      <c r="I256" s="2"/>
    </row>
    <row r="257" spans="1:9" s="3" customFormat="1" ht="60" x14ac:dyDescent="0.3">
      <c r="A257" s="4" t="str">
        <f>dB題庫!A44</f>
        <v>43</v>
      </c>
      <c r="B257" s="4" t="str">
        <f>dB題庫!B44</f>
        <v>自動決策模式常用於下列哪種情況</v>
      </c>
      <c r="C257" s="4" t="str">
        <f t="shared" si="1"/>
        <v>43.自動決策模式常用於下列哪種情況</v>
      </c>
      <c r="D257" s="4" t="str">
        <f>dB題庫!C44</f>
        <v>緊急情況。</v>
      </c>
      <c r="E257" s="4" t="str">
        <f>dB題庫!D44</f>
        <v>無法預作分析的情況。</v>
      </c>
      <c r="F257" s="4" t="str">
        <f>dB題庫!E44</f>
        <v>無法沙盤推演的情況。</v>
      </c>
      <c r="G257" s="4" t="str">
        <f>dB題庫!F44</f>
        <v>以上皆是。</v>
      </c>
      <c r="H257" s="4" t="str">
        <f>dB題庫!G44</f>
        <v>D</v>
      </c>
      <c r="I257" s="4" t="str">
        <f>dB題庫!H44</f>
        <v>當無人機在空中面臨突發的「緊急情況」，或瞬間遭遇「完全無法在事前預期、預先分析或沙盤推演的劇烈天候/障礙物危害」時，操作人沒有時間慢慢查閱紙本檢查表，此時便必須高度依賴「自動決策模式」來保全載具與地面安全。</v>
      </c>
    </row>
    <row r="258" spans="1:9" s="3" customFormat="1" x14ac:dyDescent="0.3">
      <c r="A258" s="2" t="s">
        <v>60</v>
      </c>
      <c r="B258" s="1"/>
      <c r="C258" s="7" t="str">
        <f>"(A.)"&amp;D257</f>
        <v>(A.)緊急情況。</v>
      </c>
      <c r="D258" s="2"/>
      <c r="E258" s="2"/>
      <c r="F258" s="2"/>
      <c r="G258" s="2"/>
      <c r="H258" s="2"/>
      <c r="I258" s="2"/>
    </row>
    <row r="259" spans="1:9" s="3" customFormat="1" x14ac:dyDescent="0.3">
      <c r="A259" s="2"/>
      <c r="B259" s="1"/>
      <c r="C259" s="7" t="str">
        <f>"(B.)"&amp;E257</f>
        <v>(B.)無法預作分析的情況。</v>
      </c>
      <c r="D259" s="2"/>
      <c r="E259" s="2"/>
      <c r="F259" s="2"/>
      <c r="G259" s="2"/>
      <c r="H259" s="2"/>
      <c r="I259" s="2"/>
    </row>
    <row r="260" spans="1:9" s="3" customFormat="1" x14ac:dyDescent="0.3">
      <c r="A260" s="2"/>
      <c r="B260" s="2"/>
      <c r="C260" s="7" t="str">
        <f>"(C.)"&amp;F257</f>
        <v>(C.)無法沙盤推演的情況。</v>
      </c>
      <c r="D260" s="2"/>
      <c r="E260" s="2"/>
      <c r="F260" s="2"/>
      <c r="G260" s="2"/>
      <c r="H260" s="2"/>
      <c r="I260" s="2"/>
    </row>
    <row r="261" spans="1:9" s="3" customFormat="1" x14ac:dyDescent="0.3">
      <c r="A261" s="2"/>
      <c r="B261" s="2"/>
      <c r="C261" s="7" t="str">
        <f>"(D.)"&amp;G257</f>
        <v>(D.)以上皆是。</v>
      </c>
      <c r="D261" s="2"/>
      <c r="E261" s="2"/>
      <c r="F261" s="2"/>
      <c r="G261" s="2"/>
      <c r="H261" s="2"/>
      <c r="I261" s="2"/>
    </row>
    <row r="262" spans="1:9" s="3" customFormat="1" x14ac:dyDescent="0.3">
      <c r="A262" s="2"/>
      <c r="B262" s="2"/>
      <c r="C262" s="7" t="str">
        <f>"答案是： "&amp;IF(H257="A",C258,IF(H257="B",C259,IF(H257="C",C260,IF(H257=("D"),C261,"XXXX"))))</f>
        <v>答案是： (D.)以上皆是。</v>
      </c>
      <c r="D262" s="2"/>
      <c r="E262" s="2"/>
      <c r="F262" s="2"/>
      <c r="G262" s="2"/>
      <c r="H262" s="2"/>
      <c r="I262" s="2"/>
    </row>
    <row r="263" spans="1:9" s="3" customFormat="1" ht="90" x14ac:dyDescent="0.3">
      <c r="A263" s="2"/>
      <c r="B263" s="2"/>
      <c r="C263" s="7" t="str">
        <f>"說明："&amp;I257</f>
        <v>說明：當無人機在空中面臨突發的「緊急情況」，或瞬間遭遇「完全無法在事前預期、預先分析或沙盤推演的劇烈天候/障礙物危害」時，操作人沒有時間慢慢查閱紙本檢查表，此時便必須高度依賴「自動決策模式」來保全載具與地面安全。</v>
      </c>
      <c r="D263" s="2"/>
      <c r="E263" s="2"/>
      <c r="F263" s="2"/>
      <c r="G263" s="2"/>
      <c r="H263" s="2"/>
      <c r="I263" s="2"/>
    </row>
    <row r="264" spans="1:9" s="3" customFormat="1" x14ac:dyDescent="0.3">
      <c r="A264" s="3" t="s">
        <v>64</v>
      </c>
      <c r="C264" s="3" t="s">
        <v>63</v>
      </c>
    </row>
  </sheetData>
  <phoneticPr fontId="1" type="noConversion"/>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B9" sqref="B9"/>
    </sheetView>
  </sheetViews>
  <sheetFormatPr defaultRowHeight="15" x14ac:dyDescent="0.3"/>
  <sheetData>
    <row r="2" spans="2:2" x14ac:dyDescent="0.3">
      <c r="B2" t="s">
        <v>53</v>
      </c>
    </row>
    <row r="3" spans="2:2" x14ac:dyDescent="0.3">
      <c r="B3" t="s">
        <v>54</v>
      </c>
    </row>
    <row r="4" spans="2:2" x14ac:dyDescent="0.3">
      <c r="B4" t="s">
        <v>55</v>
      </c>
    </row>
    <row r="5" spans="2:2" x14ac:dyDescent="0.3">
      <c r="B5" t="s">
        <v>56</v>
      </c>
    </row>
    <row r="6" spans="2:2" x14ac:dyDescent="0.3">
      <c r="B6" t="s">
        <v>57</v>
      </c>
    </row>
    <row r="7" spans="2:2" x14ac:dyDescent="0.3">
      <c r="B7" t="s">
        <v>58</v>
      </c>
    </row>
    <row r="8" spans="2:2" x14ac:dyDescent="0.3">
      <c r="B8" t="s">
        <v>59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dB題庫</vt:lpstr>
      <vt:lpstr>【讀給你聽】</vt:lpstr>
      <vt:lpstr>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2026-07-10T10:14:54Z</dcterms:created>
  <dcterms:modified xsi:type="dcterms:W3CDTF">2026-07-31T09:00:13Z</dcterms:modified>
</cp:coreProperties>
</file>