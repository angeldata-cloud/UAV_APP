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__【無人機】\考照\【APP】\"/>
    </mc:Choice>
  </mc:AlternateContent>
  <bookViews>
    <workbookView xWindow="0" yWindow="600" windowWidth="28800" windowHeight="17400"/>
  </bookViews>
  <sheets>
    <sheet name="dB題庫" sheetId="1" r:id="rId1"/>
    <sheet name="【讀給你聽】" sheetId="2" r:id="rId2"/>
    <sheet name="Steps" sheetId="3" r:id="rId3"/>
  </sheets>
  <definedNames>
    <definedName name="_xlnm._FilterDatabase" localSheetId="0" hidden="1">dB題庫!$A$1:$H$92</definedName>
  </definedNames>
  <calcPr calcId="162913"/>
</workbook>
</file>

<file path=xl/calcChain.xml><?xml version="1.0" encoding="utf-8"?>
<calcChain xmlns="http://schemas.openxmlformats.org/spreadsheetml/2006/main">
  <c r="A40" i="2" l="1"/>
  <c r="B40" i="2"/>
  <c r="D40" i="2"/>
  <c r="C41" i="2" s="1"/>
  <c r="E40" i="2"/>
  <c r="C42" i="2" s="1"/>
  <c r="F40" i="2"/>
  <c r="C43" i="2" s="1"/>
  <c r="G40" i="2"/>
  <c r="C44" i="2" s="1"/>
  <c r="H40" i="2"/>
  <c r="I40" i="2"/>
  <c r="C46" i="2" s="1"/>
  <c r="A47" i="2"/>
  <c r="B47" i="2"/>
  <c r="D47" i="2"/>
  <c r="C48" i="2" s="1"/>
  <c r="E47" i="2"/>
  <c r="C49" i="2" s="1"/>
  <c r="F47" i="2"/>
  <c r="C50" i="2" s="1"/>
  <c r="G47" i="2"/>
  <c r="C51" i="2" s="1"/>
  <c r="H47" i="2"/>
  <c r="I47" i="2"/>
  <c r="C53" i="2" s="1"/>
  <c r="A54" i="2"/>
  <c r="B54" i="2"/>
  <c r="D54" i="2"/>
  <c r="C55" i="2" s="1"/>
  <c r="E54" i="2"/>
  <c r="C56" i="2" s="1"/>
  <c r="F54" i="2"/>
  <c r="C57" i="2" s="1"/>
  <c r="G54" i="2"/>
  <c r="C58" i="2" s="1"/>
  <c r="H54" i="2"/>
  <c r="I54" i="2"/>
  <c r="C60" i="2" s="1"/>
  <c r="A61" i="2"/>
  <c r="B61" i="2"/>
  <c r="D61" i="2"/>
  <c r="C62" i="2" s="1"/>
  <c r="E61" i="2"/>
  <c r="C63" i="2" s="1"/>
  <c r="F61" i="2"/>
  <c r="C64" i="2" s="1"/>
  <c r="G61" i="2"/>
  <c r="C65" i="2" s="1"/>
  <c r="H61" i="2"/>
  <c r="I61" i="2"/>
  <c r="C67" i="2" s="1"/>
  <c r="A68" i="2"/>
  <c r="B68" i="2"/>
  <c r="D68" i="2"/>
  <c r="C69" i="2" s="1"/>
  <c r="E68" i="2"/>
  <c r="C70" i="2" s="1"/>
  <c r="F68" i="2"/>
  <c r="C71" i="2" s="1"/>
  <c r="G68" i="2"/>
  <c r="C72" i="2" s="1"/>
  <c r="H68" i="2"/>
  <c r="I68" i="2"/>
  <c r="C74" i="2" s="1"/>
  <c r="A75" i="2"/>
  <c r="B75" i="2"/>
  <c r="D75" i="2"/>
  <c r="C76" i="2" s="1"/>
  <c r="E75" i="2"/>
  <c r="C77" i="2" s="1"/>
  <c r="F75" i="2"/>
  <c r="C78" i="2" s="1"/>
  <c r="G75" i="2"/>
  <c r="C79" i="2" s="1"/>
  <c r="H75" i="2"/>
  <c r="I75" i="2"/>
  <c r="C81" i="2" s="1"/>
  <c r="A82" i="2"/>
  <c r="B82" i="2"/>
  <c r="D82" i="2"/>
  <c r="C83" i="2" s="1"/>
  <c r="E82" i="2"/>
  <c r="C84" i="2" s="1"/>
  <c r="F82" i="2"/>
  <c r="C85" i="2" s="1"/>
  <c r="G82" i="2"/>
  <c r="C86" i="2" s="1"/>
  <c r="H82" i="2"/>
  <c r="I82" i="2"/>
  <c r="C88" i="2" s="1"/>
  <c r="A89" i="2"/>
  <c r="B89" i="2"/>
  <c r="D89" i="2"/>
  <c r="C90" i="2" s="1"/>
  <c r="E89" i="2"/>
  <c r="C91" i="2" s="1"/>
  <c r="F89" i="2"/>
  <c r="C92" i="2" s="1"/>
  <c r="G89" i="2"/>
  <c r="C93" i="2" s="1"/>
  <c r="H89" i="2"/>
  <c r="I89" i="2"/>
  <c r="C95" i="2" s="1"/>
  <c r="A96" i="2"/>
  <c r="B96" i="2"/>
  <c r="D96" i="2"/>
  <c r="C97" i="2" s="1"/>
  <c r="E96" i="2"/>
  <c r="C98" i="2" s="1"/>
  <c r="F96" i="2"/>
  <c r="C99" i="2" s="1"/>
  <c r="G96" i="2"/>
  <c r="C100" i="2" s="1"/>
  <c r="H96" i="2"/>
  <c r="I96" i="2"/>
  <c r="C102" i="2" s="1"/>
  <c r="A103" i="2"/>
  <c r="B103" i="2"/>
  <c r="D103" i="2"/>
  <c r="C104" i="2" s="1"/>
  <c r="E103" i="2"/>
  <c r="C105" i="2" s="1"/>
  <c r="F103" i="2"/>
  <c r="C106" i="2" s="1"/>
  <c r="G103" i="2"/>
  <c r="C107" i="2" s="1"/>
  <c r="H103" i="2"/>
  <c r="I103" i="2"/>
  <c r="C109" i="2" s="1"/>
  <c r="A110" i="2"/>
  <c r="B110" i="2"/>
  <c r="D110" i="2"/>
  <c r="C111" i="2" s="1"/>
  <c r="E110" i="2"/>
  <c r="C112" i="2" s="1"/>
  <c r="F110" i="2"/>
  <c r="C113" i="2" s="1"/>
  <c r="G110" i="2"/>
  <c r="C114" i="2" s="1"/>
  <c r="H110" i="2"/>
  <c r="I110" i="2"/>
  <c r="C116" i="2" s="1"/>
  <c r="A117" i="2"/>
  <c r="B117" i="2"/>
  <c r="D117" i="2"/>
  <c r="C118" i="2" s="1"/>
  <c r="E117" i="2"/>
  <c r="C119" i="2" s="1"/>
  <c r="F117" i="2"/>
  <c r="C120" i="2" s="1"/>
  <c r="G117" i="2"/>
  <c r="C121" i="2" s="1"/>
  <c r="H117" i="2"/>
  <c r="I117" i="2"/>
  <c r="C123" i="2" s="1"/>
  <c r="A124" i="2"/>
  <c r="B124" i="2"/>
  <c r="D124" i="2"/>
  <c r="C125" i="2" s="1"/>
  <c r="E124" i="2"/>
  <c r="C126" i="2" s="1"/>
  <c r="F124" i="2"/>
  <c r="C127" i="2" s="1"/>
  <c r="G124" i="2"/>
  <c r="C128" i="2" s="1"/>
  <c r="H124" i="2"/>
  <c r="I124" i="2"/>
  <c r="C130" i="2" s="1"/>
  <c r="A131" i="2"/>
  <c r="B131" i="2"/>
  <c r="D131" i="2"/>
  <c r="C132" i="2" s="1"/>
  <c r="E131" i="2"/>
  <c r="C133" i="2" s="1"/>
  <c r="F131" i="2"/>
  <c r="C134" i="2" s="1"/>
  <c r="G131" i="2"/>
  <c r="C135" i="2" s="1"/>
  <c r="H131" i="2"/>
  <c r="I131" i="2"/>
  <c r="C137" i="2" s="1"/>
  <c r="A138" i="2"/>
  <c r="B138" i="2"/>
  <c r="D138" i="2"/>
  <c r="C139" i="2" s="1"/>
  <c r="E138" i="2"/>
  <c r="C140" i="2" s="1"/>
  <c r="F138" i="2"/>
  <c r="C141" i="2" s="1"/>
  <c r="G138" i="2"/>
  <c r="C142" i="2" s="1"/>
  <c r="H138" i="2"/>
  <c r="I138" i="2"/>
  <c r="C144" i="2" s="1"/>
  <c r="A145" i="2"/>
  <c r="B145" i="2"/>
  <c r="D145" i="2"/>
  <c r="C146" i="2" s="1"/>
  <c r="E145" i="2"/>
  <c r="C147" i="2" s="1"/>
  <c r="F145" i="2"/>
  <c r="C148" i="2" s="1"/>
  <c r="G145" i="2"/>
  <c r="C149" i="2" s="1"/>
  <c r="H145" i="2"/>
  <c r="I145" i="2"/>
  <c r="C151" i="2" s="1"/>
  <c r="A152" i="2"/>
  <c r="B152" i="2"/>
  <c r="D152" i="2"/>
  <c r="C153" i="2" s="1"/>
  <c r="E152" i="2"/>
  <c r="C154" i="2" s="1"/>
  <c r="F152" i="2"/>
  <c r="C155" i="2" s="1"/>
  <c r="G152" i="2"/>
  <c r="C156" i="2" s="1"/>
  <c r="H152" i="2"/>
  <c r="I152" i="2"/>
  <c r="C158" i="2" s="1"/>
  <c r="A159" i="2"/>
  <c r="B159" i="2"/>
  <c r="D159" i="2"/>
  <c r="C160" i="2" s="1"/>
  <c r="E159" i="2"/>
  <c r="C161" i="2" s="1"/>
  <c r="F159" i="2"/>
  <c r="C162" i="2" s="1"/>
  <c r="G159" i="2"/>
  <c r="C163" i="2" s="1"/>
  <c r="H159" i="2"/>
  <c r="I159" i="2"/>
  <c r="C165" i="2" s="1"/>
  <c r="A166" i="2"/>
  <c r="B166" i="2"/>
  <c r="D166" i="2"/>
  <c r="C167" i="2" s="1"/>
  <c r="E166" i="2"/>
  <c r="C168" i="2" s="1"/>
  <c r="F166" i="2"/>
  <c r="C169" i="2" s="1"/>
  <c r="G166" i="2"/>
  <c r="C170" i="2" s="1"/>
  <c r="H166" i="2"/>
  <c r="I166" i="2"/>
  <c r="C172" i="2" s="1"/>
  <c r="A173" i="2"/>
  <c r="B173" i="2"/>
  <c r="D173" i="2"/>
  <c r="C174" i="2" s="1"/>
  <c r="E173" i="2"/>
  <c r="C175" i="2" s="1"/>
  <c r="F173" i="2"/>
  <c r="C176" i="2" s="1"/>
  <c r="G173" i="2"/>
  <c r="C177" i="2" s="1"/>
  <c r="H173" i="2"/>
  <c r="I173" i="2"/>
  <c r="C179" i="2" s="1"/>
  <c r="A180" i="2"/>
  <c r="B180" i="2"/>
  <c r="D180" i="2"/>
  <c r="C181" i="2" s="1"/>
  <c r="E180" i="2"/>
  <c r="C182" i="2" s="1"/>
  <c r="F180" i="2"/>
  <c r="C183" i="2" s="1"/>
  <c r="G180" i="2"/>
  <c r="C184" i="2" s="1"/>
  <c r="H180" i="2"/>
  <c r="I180" i="2"/>
  <c r="C186" i="2" s="1"/>
  <c r="A187" i="2"/>
  <c r="B187" i="2"/>
  <c r="D187" i="2"/>
  <c r="C188" i="2" s="1"/>
  <c r="E187" i="2"/>
  <c r="C189" i="2" s="1"/>
  <c r="F187" i="2"/>
  <c r="C190" i="2" s="1"/>
  <c r="G187" i="2"/>
  <c r="C191" i="2" s="1"/>
  <c r="H187" i="2"/>
  <c r="I187" i="2"/>
  <c r="C193" i="2" s="1"/>
  <c r="A194" i="2"/>
  <c r="B194" i="2"/>
  <c r="D194" i="2"/>
  <c r="C195" i="2" s="1"/>
  <c r="E194" i="2"/>
  <c r="C196" i="2" s="1"/>
  <c r="F194" i="2"/>
  <c r="C197" i="2" s="1"/>
  <c r="G194" i="2"/>
  <c r="C198" i="2" s="1"/>
  <c r="H194" i="2"/>
  <c r="I194" i="2"/>
  <c r="C200" i="2" s="1"/>
  <c r="A201" i="2"/>
  <c r="B201" i="2"/>
  <c r="D201" i="2"/>
  <c r="C202" i="2" s="1"/>
  <c r="E201" i="2"/>
  <c r="C203" i="2" s="1"/>
  <c r="F201" i="2"/>
  <c r="C204" i="2" s="1"/>
  <c r="G201" i="2"/>
  <c r="C205" i="2" s="1"/>
  <c r="H201" i="2"/>
  <c r="I201" i="2"/>
  <c r="C207" i="2" s="1"/>
  <c r="A208" i="2"/>
  <c r="B208" i="2"/>
  <c r="D208" i="2"/>
  <c r="C209" i="2" s="1"/>
  <c r="E208" i="2"/>
  <c r="C210" i="2" s="1"/>
  <c r="F208" i="2"/>
  <c r="C211" i="2" s="1"/>
  <c r="G208" i="2"/>
  <c r="C212" i="2" s="1"/>
  <c r="H208" i="2"/>
  <c r="I208" i="2"/>
  <c r="C214" i="2" s="1"/>
  <c r="A215" i="2"/>
  <c r="B215" i="2"/>
  <c r="D215" i="2"/>
  <c r="C216" i="2" s="1"/>
  <c r="E215" i="2"/>
  <c r="C217" i="2" s="1"/>
  <c r="F215" i="2"/>
  <c r="C218" i="2" s="1"/>
  <c r="G215" i="2"/>
  <c r="C219" i="2" s="1"/>
  <c r="H215" i="2"/>
  <c r="I215" i="2"/>
  <c r="C221" i="2" s="1"/>
  <c r="A222" i="2"/>
  <c r="B222" i="2"/>
  <c r="D222" i="2"/>
  <c r="C223" i="2" s="1"/>
  <c r="E222" i="2"/>
  <c r="C224" i="2" s="1"/>
  <c r="F222" i="2"/>
  <c r="C225" i="2" s="1"/>
  <c r="G222" i="2"/>
  <c r="C226" i="2" s="1"/>
  <c r="H222" i="2"/>
  <c r="I222" i="2"/>
  <c r="C228" i="2" s="1"/>
  <c r="A229" i="2"/>
  <c r="B229" i="2"/>
  <c r="D229" i="2"/>
  <c r="C230" i="2" s="1"/>
  <c r="E229" i="2"/>
  <c r="C231" i="2" s="1"/>
  <c r="F229" i="2"/>
  <c r="C232" i="2" s="1"/>
  <c r="G229" i="2"/>
  <c r="C233" i="2" s="1"/>
  <c r="H229" i="2"/>
  <c r="I229" i="2"/>
  <c r="C235" i="2" s="1"/>
  <c r="A236" i="2"/>
  <c r="B236" i="2"/>
  <c r="D236" i="2"/>
  <c r="C237" i="2" s="1"/>
  <c r="E236" i="2"/>
  <c r="C238" i="2" s="1"/>
  <c r="F236" i="2"/>
  <c r="C239" i="2" s="1"/>
  <c r="G236" i="2"/>
  <c r="C240" i="2" s="1"/>
  <c r="H236" i="2"/>
  <c r="I236" i="2"/>
  <c r="C242" i="2" s="1"/>
  <c r="A243" i="2"/>
  <c r="B243" i="2"/>
  <c r="D243" i="2"/>
  <c r="C244" i="2" s="1"/>
  <c r="E243" i="2"/>
  <c r="C245" i="2" s="1"/>
  <c r="F243" i="2"/>
  <c r="C246" i="2" s="1"/>
  <c r="G243" i="2"/>
  <c r="C247" i="2" s="1"/>
  <c r="H243" i="2"/>
  <c r="I243" i="2"/>
  <c r="C249" i="2" s="1"/>
  <c r="A250" i="2"/>
  <c r="B250" i="2"/>
  <c r="D250" i="2"/>
  <c r="C251" i="2" s="1"/>
  <c r="E250" i="2"/>
  <c r="C252" i="2" s="1"/>
  <c r="F250" i="2"/>
  <c r="C253" i="2" s="1"/>
  <c r="G250" i="2"/>
  <c r="C254" i="2" s="1"/>
  <c r="H250" i="2"/>
  <c r="I250" i="2"/>
  <c r="C256" i="2" s="1"/>
  <c r="A257" i="2"/>
  <c r="B257" i="2"/>
  <c r="D257" i="2"/>
  <c r="C258" i="2" s="1"/>
  <c r="E257" i="2"/>
  <c r="C259" i="2" s="1"/>
  <c r="F257" i="2"/>
  <c r="C260" i="2" s="1"/>
  <c r="G257" i="2"/>
  <c r="C261" i="2" s="1"/>
  <c r="H257" i="2"/>
  <c r="I257" i="2"/>
  <c r="C263" i="2" s="1"/>
  <c r="A264" i="2"/>
  <c r="B264" i="2"/>
  <c r="D264" i="2"/>
  <c r="C265" i="2" s="1"/>
  <c r="E264" i="2"/>
  <c r="C266" i="2" s="1"/>
  <c r="F264" i="2"/>
  <c r="C267" i="2" s="1"/>
  <c r="G264" i="2"/>
  <c r="C268" i="2" s="1"/>
  <c r="H264" i="2"/>
  <c r="I264" i="2"/>
  <c r="C270" i="2" s="1"/>
  <c r="A271" i="2"/>
  <c r="B271" i="2"/>
  <c r="D271" i="2"/>
  <c r="C272" i="2" s="1"/>
  <c r="E271" i="2"/>
  <c r="C273" i="2" s="1"/>
  <c r="F271" i="2"/>
  <c r="C274" i="2" s="1"/>
  <c r="G271" i="2"/>
  <c r="C275" i="2" s="1"/>
  <c r="H271" i="2"/>
  <c r="I271" i="2"/>
  <c r="C277" i="2" s="1"/>
  <c r="A278" i="2"/>
  <c r="B278" i="2"/>
  <c r="D278" i="2"/>
  <c r="C279" i="2" s="1"/>
  <c r="E278" i="2"/>
  <c r="C280" i="2" s="1"/>
  <c r="F278" i="2"/>
  <c r="C281" i="2" s="1"/>
  <c r="G278" i="2"/>
  <c r="C282" i="2" s="1"/>
  <c r="H278" i="2"/>
  <c r="I278" i="2"/>
  <c r="C284" i="2" s="1"/>
  <c r="A285" i="2"/>
  <c r="B285" i="2"/>
  <c r="D285" i="2"/>
  <c r="C286" i="2" s="1"/>
  <c r="E285" i="2"/>
  <c r="C287" i="2" s="1"/>
  <c r="F285" i="2"/>
  <c r="C288" i="2" s="1"/>
  <c r="G285" i="2"/>
  <c r="C289" i="2" s="1"/>
  <c r="H285" i="2"/>
  <c r="I285" i="2"/>
  <c r="C291" i="2" s="1"/>
  <c r="A292" i="2"/>
  <c r="B292" i="2"/>
  <c r="D292" i="2"/>
  <c r="C293" i="2" s="1"/>
  <c r="E292" i="2"/>
  <c r="C294" i="2" s="1"/>
  <c r="F292" i="2"/>
  <c r="C295" i="2" s="1"/>
  <c r="G292" i="2"/>
  <c r="C296" i="2" s="1"/>
  <c r="H292" i="2"/>
  <c r="I292" i="2"/>
  <c r="C298" i="2" s="1"/>
  <c r="A299" i="2"/>
  <c r="B299" i="2"/>
  <c r="D299" i="2"/>
  <c r="C300" i="2" s="1"/>
  <c r="E299" i="2"/>
  <c r="C301" i="2" s="1"/>
  <c r="F299" i="2"/>
  <c r="C302" i="2" s="1"/>
  <c r="G299" i="2"/>
  <c r="C303" i="2" s="1"/>
  <c r="H299" i="2"/>
  <c r="I299" i="2"/>
  <c r="C305" i="2" s="1"/>
  <c r="A306" i="2"/>
  <c r="B306" i="2"/>
  <c r="D306" i="2"/>
  <c r="C307" i="2" s="1"/>
  <c r="E306" i="2"/>
  <c r="C308" i="2" s="1"/>
  <c r="F306" i="2"/>
  <c r="C309" i="2" s="1"/>
  <c r="G306" i="2"/>
  <c r="C310" i="2" s="1"/>
  <c r="H306" i="2"/>
  <c r="I306" i="2"/>
  <c r="C312" i="2" s="1"/>
  <c r="A313" i="2"/>
  <c r="B313" i="2"/>
  <c r="D313" i="2"/>
  <c r="C314" i="2" s="1"/>
  <c r="E313" i="2"/>
  <c r="C315" i="2" s="1"/>
  <c r="F313" i="2"/>
  <c r="C316" i="2" s="1"/>
  <c r="G313" i="2"/>
  <c r="C317" i="2" s="1"/>
  <c r="H313" i="2"/>
  <c r="I313" i="2"/>
  <c r="C319" i="2" s="1"/>
  <c r="A320" i="2"/>
  <c r="B320" i="2"/>
  <c r="D320" i="2"/>
  <c r="C321" i="2" s="1"/>
  <c r="E320" i="2"/>
  <c r="C322" i="2" s="1"/>
  <c r="F320" i="2"/>
  <c r="C323" i="2" s="1"/>
  <c r="G320" i="2"/>
  <c r="C324" i="2" s="1"/>
  <c r="H320" i="2"/>
  <c r="I320" i="2"/>
  <c r="C326" i="2" s="1"/>
  <c r="A327" i="2"/>
  <c r="B327" i="2"/>
  <c r="D327" i="2"/>
  <c r="C328" i="2" s="1"/>
  <c r="E327" i="2"/>
  <c r="C329" i="2" s="1"/>
  <c r="F327" i="2"/>
  <c r="C330" i="2" s="1"/>
  <c r="G327" i="2"/>
  <c r="C331" i="2" s="1"/>
  <c r="H327" i="2"/>
  <c r="I327" i="2"/>
  <c r="C333" i="2" s="1"/>
  <c r="A334" i="2"/>
  <c r="B334" i="2"/>
  <c r="D334" i="2"/>
  <c r="C335" i="2" s="1"/>
  <c r="E334" i="2"/>
  <c r="C336" i="2" s="1"/>
  <c r="F334" i="2"/>
  <c r="C337" i="2" s="1"/>
  <c r="G334" i="2"/>
  <c r="C338" i="2" s="1"/>
  <c r="H334" i="2"/>
  <c r="I334" i="2"/>
  <c r="C340" i="2" s="1"/>
  <c r="A341" i="2"/>
  <c r="B341" i="2"/>
  <c r="D341" i="2"/>
  <c r="C342" i="2" s="1"/>
  <c r="E341" i="2"/>
  <c r="C343" i="2" s="1"/>
  <c r="F341" i="2"/>
  <c r="C344" i="2" s="1"/>
  <c r="G341" i="2"/>
  <c r="C345" i="2" s="1"/>
  <c r="H341" i="2"/>
  <c r="I341" i="2"/>
  <c r="C347" i="2" s="1"/>
  <c r="A348" i="2"/>
  <c r="B348" i="2"/>
  <c r="D348" i="2"/>
  <c r="C349" i="2" s="1"/>
  <c r="E348" i="2"/>
  <c r="C350" i="2" s="1"/>
  <c r="F348" i="2"/>
  <c r="C351" i="2" s="1"/>
  <c r="G348" i="2"/>
  <c r="C352" i="2" s="1"/>
  <c r="H348" i="2"/>
  <c r="I348" i="2"/>
  <c r="C354" i="2" s="1"/>
  <c r="A355" i="2"/>
  <c r="B355" i="2"/>
  <c r="D355" i="2"/>
  <c r="C356" i="2" s="1"/>
  <c r="E355" i="2"/>
  <c r="C357" i="2" s="1"/>
  <c r="F355" i="2"/>
  <c r="C358" i="2" s="1"/>
  <c r="G355" i="2"/>
  <c r="C359" i="2" s="1"/>
  <c r="H355" i="2"/>
  <c r="I355" i="2"/>
  <c r="C361" i="2" s="1"/>
  <c r="A362" i="2"/>
  <c r="B362" i="2"/>
  <c r="D362" i="2"/>
  <c r="C363" i="2" s="1"/>
  <c r="E362" i="2"/>
  <c r="C364" i="2" s="1"/>
  <c r="F362" i="2"/>
  <c r="C365" i="2" s="1"/>
  <c r="G362" i="2"/>
  <c r="C366" i="2" s="1"/>
  <c r="H362" i="2"/>
  <c r="I362" i="2"/>
  <c r="C368" i="2" s="1"/>
  <c r="A369" i="2"/>
  <c r="B369" i="2"/>
  <c r="D369" i="2"/>
  <c r="C370" i="2" s="1"/>
  <c r="E369" i="2"/>
  <c r="C371" i="2" s="1"/>
  <c r="F369" i="2"/>
  <c r="C372" i="2" s="1"/>
  <c r="G369" i="2"/>
  <c r="C373" i="2" s="1"/>
  <c r="H369" i="2"/>
  <c r="I369" i="2"/>
  <c r="C375" i="2" s="1"/>
  <c r="A376" i="2"/>
  <c r="B376" i="2"/>
  <c r="D376" i="2"/>
  <c r="C377" i="2" s="1"/>
  <c r="E376" i="2"/>
  <c r="C378" i="2" s="1"/>
  <c r="F376" i="2"/>
  <c r="C379" i="2" s="1"/>
  <c r="G376" i="2"/>
  <c r="C380" i="2" s="1"/>
  <c r="H376" i="2"/>
  <c r="I376" i="2"/>
  <c r="C382" i="2" s="1"/>
  <c r="A383" i="2"/>
  <c r="B383" i="2"/>
  <c r="D383" i="2"/>
  <c r="C384" i="2" s="1"/>
  <c r="E383" i="2"/>
  <c r="C385" i="2" s="1"/>
  <c r="F383" i="2"/>
  <c r="C386" i="2" s="1"/>
  <c r="G383" i="2"/>
  <c r="C387" i="2" s="1"/>
  <c r="H383" i="2"/>
  <c r="I383" i="2"/>
  <c r="C389" i="2" s="1"/>
  <c r="A390" i="2"/>
  <c r="B390" i="2"/>
  <c r="D390" i="2"/>
  <c r="C391" i="2" s="1"/>
  <c r="E390" i="2"/>
  <c r="C392" i="2" s="1"/>
  <c r="F390" i="2"/>
  <c r="C393" i="2" s="1"/>
  <c r="G390" i="2"/>
  <c r="C394" i="2" s="1"/>
  <c r="H390" i="2"/>
  <c r="I390" i="2"/>
  <c r="C396" i="2" s="1"/>
  <c r="A397" i="2"/>
  <c r="B397" i="2"/>
  <c r="D397" i="2"/>
  <c r="C398" i="2" s="1"/>
  <c r="E397" i="2"/>
  <c r="C399" i="2" s="1"/>
  <c r="F397" i="2"/>
  <c r="C400" i="2" s="1"/>
  <c r="G397" i="2"/>
  <c r="C401" i="2" s="1"/>
  <c r="H397" i="2"/>
  <c r="I397" i="2"/>
  <c r="C403" i="2" s="1"/>
  <c r="A404" i="2"/>
  <c r="B404" i="2"/>
  <c r="D404" i="2"/>
  <c r="C405" i="2" s="1"/>
  <c r="E404" i="2"/>
  <c r="C406" i="2" s="1"/>
  <c r="F404" i="2"/>
  <c r="C407" i="2" s="1"/>
  <c r="G404" i="2"/>
  <c r="C408" i="2" s="1"/>
  <c r="H404" i="2"/>
  <c r="I404" i="2"/>
  <c r="C410" i="2" s="1"/>
  <c r="A411" i="2"/>
  <c r="B411" i="2"/>
  <c r="D411" i="2"/>
  <c r="C412" i="2" s="1"/>
  <c r="E411" i="2"/>
  <c r="C413" i="2" s="1"/>
  <c r="F411" i="2"/>
  <c r="C414" i="2" s="1"/>
  <c r="G411" i="2"/>
  <c r="C415" i="2" s="1"/>
  <c r="H411" i="2"/>
  <c r="I411" i="2"/>
  <c r="C417" i="2" s="1"/>
  <c r="A418" i="2"/>
  <c r="B418" i="2"/>
  <c r="D418" i="2"/>
  <c r="C419" i="2" s="1"/>
  <c r="E418" i="2"/>
  <c r="C420" i="2" s="1"/>
  <c r="F418" i="2"/>
  <c r="C421" i="2" s="1"/>
  <c r="G418" i="2"/>
  <c r="C422" i="2" s="1"/>
  <c r="H418" i="2"/>
  <c r="I418" i="2"/>
  <c r="C424" i="2" s="1"/>
  <c r="A425" i="2"/>
  <c r="B425" i="2"/>
  <c r="D425" i="2"/>
  <c r="C426" i="2" s="1"/>
  <c r="E425" i="2"/>
  <c r="C427" i="2" s="1"/>
  <c r="F425" i="2"/>
  <c r="C428" i="2" s="1"/>
  <c r="G425" i="2"/>
  <c r="C429" i="2" s="1"/>
  <c r="H425" i="2"/>
  <c r="I425" i="2"/>
  <c r="C431" i="2" s="1"/>
  <c r="A432" i="2"/>
  <c r="B432" i="2"/>
  <c r="D432" i="2"/>
  <c r="C433" i="2" s="1"/>
  <c r="E432" i="2"/>
  <c r="C434" i="2" s="1"/>
  <c r="F432" i="2"/>
  <c r="C435" i="2" s="1"/>
  <c r="G432" i="2"/>
  <c r="C436" i="2" s="1"/>
  <c r="H432" i="2"/>
  <c r="I432" i="2"/>
  <c r="C438" i="2" s="1"/>
  <c r="A439" i="2"/>
  <c r="B439" i="2"/>
  <c r="D439" i="2"/>
  <c r="C440" i="2" s="1"/>
  <c r="E439" i="2"/>
  <c r="C441" i="2" s="1"/>
  <c r="F439" i="2"/>
  <c r="C442" i="2" s="1"/>
  <c r="G439" i="2"/>
  <c r="C443" i="2" s="1"/>
  <c r="H439" i="2"/>
  <c r="I439" i="2"/>
  <c r="C445" i="2" s="1"/>
  <c r="A446" i="2"/>
  <c r="B446" i="2"/>
  <c r="D446" i="2"/>
  <c r="C447" i="2" s="1"/>
  <c r="E446" i="2"/>
  <c r="C448" i="2" s="1"/>
  <c r="F446" i="2"/>
  <c r="C449" i="2" s="1"/>
  <c r="G446" i="2"/>
  <c r="C450" i="2" s="1"/>
  <c r="H446" i="2"/>
  <c r="I446" i="2"/>
  <c r="C452" i="2" s="1"/>
  <c r="A453" i="2"/>
  <c r="B453" i="2"/>
  <c r="D453" i="2"/>
  <c r="C454" i="2" s="1"/>
  <c r="E453" i="2"/>
  <c r="C455" i="2" s="1"/>
  <c r="F453" i="2"/>
  <c r="C456" i="2" s="1"/>
  <c r="G453" i="2"/>
  <c r="C457" i="2" s="1"/>
  <c r="H453" i="2"/>
  <c r="I453" i="2"/>
  <c r="C459" i="2" s="1"/>
  <c r="A460" i="2"/>
  <c r="B460" i="2"/>
  <c r="D460" i="2"/>
  <c r="C461" i="2" s="1"/>
  <c r="E460" i="2"/>
  <c r="C462" i="2" s="1"/>
  <c r="F460" i="2"/>
  <c r="C463" i="2" s="1"/>
  <c r="G460" i="2"/>
  <c r="C464" i="2" s="1"/>
  <c r="H460" i="2"/>
  <c r="I460" i="2"/>
  <c r="C466" i="2" s="1"/>
  <c r="A467" i="2"/>
  <c r="B467" i="2"/>
  <c r="D467" i="2"/>
  <c r="C468" i="2" s="1"/>
  <c r="E467" i="2"/>
  <c r="C469" i="2" s="1"/>
  <c r="F467" i="2"/>
  <c r="C470" i="2" s="1"/>
  <c r="G467" i="2"/>
  <c r="C471" i="2" s="1"/>
  <c r="H467" i="2"/>
  <c r="I467" i="2"/>
  <c r="C473" i="2" s="1"/>
  <c r="A474" i="2"/>
  <c r="B474" i="2"/>
  <c r="D474" i="2"/>
  <c r="C475" i="2" s="1"/>
  <c r="E474" i="2"/>
  <c r="C476" i="2" s="1"/>
  <c r="F474" i="2"/>
  <c r="C477" i="2" s="1"/>
  <c r="G474" i="2"/>
  <c r="C478" i="2" s="1"/>
  <c r="H474" i="2"/>
  <c r="I474" i="2"/>
  <c r="C480" i="2" s="1"/>
  <c r="A481" i="2"/>
  <c r="B481" i="2"/>
  <c r="D481" i="2"/>
  <c r="C482" i="2" s="1"/>
  <c r="E481" i="2"/>
  <c r="C483" i="2" s="1"/>
  <c r="F481" i="2"/>
  <c r="C484" i="2" s="1"/>
  <c r="G481" i="2"/>
  <c r="C485" i="2" s="1"/>
  <c r="H481" i="2"/>
  <c r="I481" i="2"/>
  <c r="C487" i="2" s="1"/>
  <c r="A488" i="2"/>
  <c r="B488" i="2"/>
  <c r="D488" i="2"/>
  <c r="C489" i="2" s="1"/>
  <c r="E488" i="2"/>
  <c r="C490" i="2" s="1"/>
  <c r="F488" i="2"/>
  <c r="C491" i="2" s="1"/>
  <c r="G488" i="2"/>
  <c r="C492" i="2" s="1"/>
  <c r="H488" i="2"/>
  <c r="I488" i="2"/>
  <c r="C494" i="2" s="1"/>
  <c r="A495" i="2"/>
  <c r="B495" i="2"/>
  <c r="D495" i="2"/>
  <c r="C496" i="2" s="1"/>
  <c r="E495" i="2"/>
  <c r="C497" i="2" s="1"/>
  <c r="F495" i="2"/>
  <c r="C498" i="2" s="1"/>
  <c r="G495" i="2"/>
  <c r="C499" i="2" s="1"/>
  <c r="H495" i="2"/>
  <c r="I495" i="2"/>
  <c r="C501" i="2" s="1"/>
  <c r="A502" i="2"/>
  <c r="B502" i="2"/>
  <c r="D502" i="2"/>
  <c r="C503" i="2" s="1"/>
  <c r="E502" i="2"/>
  <c r="C504" i="2" s="1"/>
  <c r="F502" i="2"/>
  <c r="C505" i="2" s="1"/>
  <c r="G502" i="2"/>
  <c r="C506" i="2" s="1"/>
  <c r="H502" i="2"/>
  <c r="I502" i="2"/>
  <c r="C508" i="2" s="1"/>
  <c r="A509" i="2"/>
  <c r="B509" i="2"/>
  <c r="D509" i="2"/>
  <c r="C510" i="2" s="1"/>
  <c r="E509" i="2"/>
  <c r="C511" i="2" s="1"/>
  <c r="F509" i="2"/>
  <c r="C512" i="2" s="1"/>
  <c r="G509" i="2"/>
  <c r="C513" i="2" s="1"/>
  <c r="H509" i="2"/>
  <c r="I509" i="2"/>
  <c r="C515" i="2" s="1"/>
  <c r="A516" i="2"/>
  <c r="B516" i="2"/>
  <c r="D516" i="2"/>
  <c r="C517" i="2" s="1"/>
  <c r="E516" i="2"/>
  <c r="C518" i="2" s="1"/>
  <c r="F516" i="2"/>
  <c r="C519" i="2" s="1"/>
  <c r="G516" i="2"/>
  <c r="C520" i="2" s="1"/>
  <c r="H516" i="2"/>
  <c r="I516" i="2"/>
  <c r="C522" i="2" s="1"/>
  <c r="A523" i="2"/>
  <c r="B523" i="2"/>
  <c r="D523" i="2"/>
  <c r="C524" i="2" s="1"/>
  <c r="E523" i="2"/>
  <c r="C525" i="2" s="1"/>
  <c r="F523" i="2"/>
  <c r="C526" i="2" s="1"/>
  <c r="G523" i="2"/>
  <c r="C527" i="2" s="1"/>
  <c r="H523" i="2"/>
  <c r="I523" i="2"/>
  <c r="C529" i="2" s="1"/>
  <c r="A530" i="2"/>
  <c r="B530" i="2"/>
  <c r="D530" i="2"/>
  <c r="C531" i="2" s="1"/>
  <c r="E530" i="2"/>
  <c r="C532" i="2" s="1"/>
  <c r="F530" i="2"/>
  <c r="C533" i="2" s="1"/>
  <c r="G530" i="2"/>
  <c r="C534" i="2" s="1"/>
  <c r="H530" i="2"/>
  <c r="I530" i="2"/>
  <c r="C536" i="2" s="1"/>
  <c r="A19" i="2"/>
  <c r="B19" i="2"/>
  <c r="D19" i="2"/>
  <c r="C20" i="2" s="1"/>
  <c r="E19" i="2"/>
  <c r="C21" i="2" s="1"/>
  <c r="F19" i="2"/>
  <c r="C22" i="2" s="1"/>
  <c r="G19" i="2"/>
  <c r="C23" i="2" s="1"/>
  <c r="H19" i="2"/>
  <c r="I19" i="2"/>
  <c r="C25" i="2" s="1"/>
  <c r="A26" i="2"/>
  <c r="B26" i="2"/>
  <c r="D26" i="2"/>
  <c r="C27" i="2" s="1"/>
  <c r="E26" i="2"/>
  <c r="C28" i="2" s="1"/>
  <c r="F26" i="2"/>
  <c r="C29" i="2" s="1"/>
  <c r="G26" i="2"/>
  <c r="C30" i="2" s="1"/>
  <c r="H26" i="2"/>
  <c r="I26" i="2"/>
  <c r="C32" i="2" s="1"/>
  <c r="A33" i="2"/>
  <c r="B33" i="2"/>
  <c r="D33" i="2"/>
  <c r="C34" i="2" s="1"/>
  <c r="E33" i="2"/>
  <c r="C35" i="2" s="1"/>
  <c r="F33" i="2"/>
  <c r="C36" i="2" s="1"/>
  <c r="G33" i="2"/>
  <c r="C37" i="2" s="1"/>
  <c r="H33" i="2"/>
  <c r="I33" i="2"/>
  <c r="C39" i="2" s="1"/>
  <c r="D12" i="2"/>
  <c r="C13" i="2" s="1"/>
  <c r="E12" i="2"/>
  <c r="C14" i="2" s="1"/>
  <c r="F12" i="2"/>
  <c r="C15" i="2" s="1"/>
  <c r="G12" i="2"/>
  <c r="C16" i="2" s="1"/>
  <c r="H12" i="2"/>
  <c r="I12" i="2"/>
  <c r="C18" i="2" s="1"/>
  <c r="B12" i="2"/>
  <c r="A12" i="2"/>
  <c r="I5" i="2"/>
  <c r="C11" i="2" s="1"/>
  <c r="H5" i="2"/>
  <c r="E5" i="2"/>
  <c r="C7" i="2" s="1"/>
  <c r="F5" i="2"/>
  <c r="C8" i="2" s="1"/>
  <c r="G5" i="2"/>
  <c r="C9" i="2" s="1"/>
  <c r="D5" i="2"/>
  <c r="C6" i="2" s="1"/>
  <c r="B5" i="2"/>
  <c r="A5" i="2"/>
  <c r="C535" i="2" l="1"/>
  <c r="C528" i="2"/>
  <c r="C521" i="2"/>
  <c r="C493" i="2"/>
  <c r="C479" i="2"/>
  <c r="C465" i="2"/>
  <c r="C514" i="2"/>
  <c r="C500" i="2"/>
  <c r="C458" i="2"/>
  <c r="C444" i="2"/>
  <c r="C430" i="2"/>
  <c r="C416" i="2"/>
  <c r="C507" i="2"/>
  <c r="C486" i="2"/>
  <c r="C472" i="2"/>
  <c r="C451" i="2"/>
  <c r="C437" i="2"/>
  <c r="C423" i="2"/>
  <c r="C409" i="2"/>
  <c r="C388" i="2"/>
  <c r="C374" i="2"/>
  <c r="C346" i="2"/>
  <c r="C290" i="2"/>
  <c r="C381" i="2"/>
  <c r="C402" i="2"/>
  <c r="C395" i="2"/>
  <c r="C367" i="2"/>
  <c r="C360" i="2"/>
  <c r="C353" i="2"/>
  <c r="C318" i="2"/>
  <c r="C339" i="2"/>
  <c r="C325" i="2"/>
  <c r="C332" i="2"/>
  <c r="C311" i="2"/>
  <c r="C54" i="2"/>
  <c r="C304" i="2"/>
  <c r="C297" i="2"/>
  <c r="C283" i="2"/>
  <c r="C276" i="2"/>
  <c r="C269" i="2"/>
  <c r="C262" i="2"/>
  <c r="C248" i="2"/>
  <c r="C220" i="2"/>
  <c r="C178" i="2"/>
  <c r="C227" i="2"/>
  <c r="C206" i="2"/>
  <c r="C255" i="2"/>
  <c r="C241" i="2"/>
  <c r="C234" i="2"/>
  <c r="C213" i="2"/>
  <c r="C145" i="2"/>
  <c r="C192" i="2"/>
  <c r="C187" i="2"/>
  <c r="C61" i="2"/>
  <c r="C199" i="2"/>
  <c r="C185" i="2"/>
  <c r="C171" i="2"/>
  <c r="C164" i="2"/>
  <c r="C143" i="2"/>
  <c r="C157" i="2"/>
  <c r="C129" i="2"/>
  <c r="C150" i="2"/>
  <c r="C355" i="2"/>
  <c r="C229" i="2"/>
  <c r="C136" i="2"/>
  <c r="C299" i="2"/>
  <c r="C17" i="2"/>
  <c r="C52" i="2"/>
  <c r="C115" i="2"/>
  <c r="C59" i="2"/>
  <c r="C122" i="2"/>
  <c r="C108" i="2"/>
  <c r="C94" i="2"/>
  <c r="C75" i="2"/>
  <c r="C101" i="2"/>
  <c r="C453" i="2"/>
  <c r="C80" i="2"/>
  <c r="C87" i="2"/>
  <c r="C68" i="2"/>
  <c r="C73" i="2"/>
  <c r="C460" i="2"/>
  <c r="C530" i="2"/>
  <c r="C348" i="2"/>
  <c r="C250" i="2"/>
  <c r="C236" i="2"/>
  <c r="C12" i="2"/>
  <c r="C66" i="2"/>
  <c r="C166" i="2"/>
  <c r="C369" i="2"/>
  <c r="C45" i="2"/>
  <c r="C138" i="2"/>
  <c r="C439" i="2"/>
  <c r="C523" i="2"/>
  <c r="C341" i="2"/>
  <c r="C327" i="2"/>
  <c r="C516" i="2"/>
  <c r="C474" i="2"/>
  <c r="C131" i="2"/>
  <c r="C117" i="2"/>
  <c r="C278" i="2"/>
  <c r="C38" i="2"/>
  <c r="C411" i="2"/>
  <c r="C124" i="2"/>
  <c r="C257" i="2"/>
  <c r="C418" i="2"/>
  <c r="C404" i="2"/>
  <c r="C31" i="2"/>
  <c r="C243" i="2"/>
  <c r="C110" i="2"/>
  <c r="C362" i="2"/>
  <c r="C467" i="2"/>
  <c r="C33" i="2"/>
  <c r="C82" i="2"/>
  <c r="C19" i="2"/>
  <c r="C24" i="2"/>
  <c r="C215" i="2"/>
  <c r="C201" i="2"/>
  <c r="C306" i="2"/>
  <c r="C292" i="2"/>
  <c r="C397" i="2"/>
  <c r="C502" i="2"/>
  <c r="C488" i="2"/>
  <c r="C40" i="2"/>
  <c r="C103" i="2"/>
  <c r="C89" i="2"/>
  <c r="C194" i="2"/>
  <c r="C180" i="2"/>
  <c r="C285" i="2"/>
  <c r="C390" i="2"/>
  <c r="C376" i="2"/>
  <c r="C481" i="2"/>
  <c r="C47" i="2"/>
  <c r="C446" i="2"/>
  <c r="C432" i="2"/>
  <c r="C509" i="2"/>
  <c r="C313" i="2"/>
  <c r="C222" i="2"/>
  <c r="C495" i="2"/>
  <c r="C208" i="2"/>
  <c r="C96" i="2"/>
  <c r="C173" i="2"/>
  <c r="C159" i="2"/>
  <c r="C271" i="2"/>
  <c r="C383" i="2"/>
  <c r="C264" i="2"/>
  <c r="C152" i="2"/>
  <c r="C26" i="2"/>
  <c r="C425" i="2"/>
  <c r="C334" i="2"/>
  <c r="C320" i="2"/>
  <c r="C10" i="2"/>
  <c r="C5" i="2"/>
</calcChain>
</file>

<file path=xl/comments1.xml><?xml version="1.0" encoding="utf-8"?>
<comments xmlns="http://schemas.openxmlformats.org/spreadsheetml/2006/main">
  <authors>
    <author>user</author>
  </authors>
  <commentList>
    <comment ref="C1" authorId="0" shapeId="0">
      <text>
        <r>
          <rPr>
            <b/>
            <sz val="9"/>
            <color indexed="81"/>
            <rFont val="Tahoma"/>
            <family val="2"/>
          </rPr>
          <t>user:</t>
        </r>
        <r>
          <rPr>
            <sz val="9"/>
            <color indexed="81"/>
            <rFont val="Tahoma"/>
            <family val="2"/>
          </rPr>
          <t xml:space="preserve">
1.</t>
        </r>
        <r>
          <rPr>
            <sz val="9"/>
            <color indexed="81"/>
            <rFont val="細明體"/>
            <family val="3"/>
            <charset val="136"/>
          </rPr>
          <t xml:space="preserve">選取將本欄，複製。
</t>
        </r>
        <r>
          <rPr>
            <sz val="9"/>
            <color indexed="81"/>
            <rFont val="Tahoma"/>
            <family val="2"/>
          </rPr>
          <t>2.</t>
        </r>
        <r>
          <rPr>
            <sz val="9"/>
            <color indexed="81"/>
            <rFont val="細明體"/>
            <family val="3"/>
            <charset val="136"/>
          </rPr>
          <t>打開「</t>
        </r>
        <r>
          <rPr>
            <sz val="9"/>
            <color indexed="81"/>
            <rFont val="Tahoma"/>
            <family val="2"/>
          </rPr>
          <t>02-</t>
        </r>
        <r>
          <rPr>
            <sz val="9"/>
            <color indexed="81"/>
            <rFont val="細明體"/>
            <family val="3"/>
            <charset val="136"/>
          </rPr>
          <t>讀給你聽</t>
        </r>
        <r>
          <rPr>
            <sz val="9"/>
            <color indexed="81"/>
            <rFont val="Tahoma"/>
            <family val="2"/>
          </rPr>
          <t>-UAV</t>
        </r>
        <r>
          <rPr>
            <sz val="9"/>
            <color indexed="81"/>
            <rFont val="細明體"/>
            <family val="3"/>
            <charset val="136"/>
          </rPr>
          <t>普科題庫</t>
        </r>
        <r>
          <rPr>
            <sz val="9"/>
            <color indexed="81"/>
            <rFont val="Tahoma"/>
            <family val="2"/>
          </rPr>
          <t>_</t>
        </r>
        <r>
          <rPr>
            <sz val="9"/>
            <color indexed="81"/>
            <rFont val="細明體"/>
            <family val="3"/>
            <charset val="136"/>
          </rPr>
          <t>第二章：基礎飛行原理</t>
        </r>
        <r>
          <rPr>
            <sz val="9"/>
            <color indexed="81"/>
            <rFont val="Tahoma"/>
            <family val="2"/>
          </rPr>
          <t>.txt</t>
        </r>
        <r>
          <rPr>
            <sz val="9"/>
            <color indexed="81"/>
            <rFont val="細明體"/>
            <family val="3"/>
            <charset val="136"/>
          </rPr>
          <t xml:space="preserve">」，全選、剛除。
</t>
        </r>
        <r>
          <rPr>
            <sz val="9"/>
            <color indexed="81"/>
            <rFont val="Tahoma"/>
            <family val="2"/>
          </rPr>
          <t>3.</t>
        </r>
        <r>
          <rPr>
            <sz val="9"/>
            <color indexed="81"/>
            <rFont val="細明體"/>
            <family val="3"/>
            <charset val="136"/>
          </rPr>
          <t xml:space="preserve">貼上。
</t>
        </r>
        <r>
          <rPr>
            <sz val="9"/>
            <color indexed="81"/>
            <rFont val="Tahoma"/>
            <family val="2"/>
          </rPr>
          <t>4.</t>
        </r>
        <r>
          <rPr>
            <sz val="9"/>
            <color indexed="81"/>
            <rFont val="細明體"/>
            <family val="3"/>
            <charset val="136"/>
          </rPr>
          <t xml:space="preserve">存檔、離開。
</t>
        </r>
        <r>
          <rPr>
            <sz val="9"/>
            <color indexed="81"/>
            <rFont val="Tahoma"/>
            <family val="2"/>
          </rPr>
          <t>5.</t>
        </r>
        <r>
          <rPr>
            <sz val="9"/>
            <color indexed="81"/>
            <rFont val="細明體"/>
            <family val="3"/>
            <charset val="136"/>
          </rPr>
          <t>將「</t>
        </r>
        <r>
          <rPr>
            <sz val="9"/>
            <color indexed="81"/>
            <rFont val="Tahoma"/>
            <family val="2"/>
          </rPr>
          <t>02-</t>
        </r>
        <r>
          <rPr>
            <sz val="9"/>
            <color indexed="81"/>
            <rFont val="細明體"/>
            <family val="3"/>
            <charset val="136"/>
          </rPr>
          <t>讀給你聽</t>
        </r>
        <r>
          <rPr>
            <sz val="9"/>
            <color indexed="81"/>
            <rFont val="Tahoma"/>
            <family val="2"/>
          </rPr>
          <t>-UAV</t>
        </r>
        <r>
          <rPr>
            <sz val="9"/>
            <color indexed="81"/>
            <rFont val="細明體"/>
            <family val="3"/>
            <charset val="136"/>
          </rPr>
          <t>普科題庫</t>
        </r>
        <r>
          <rPr>
            <sz val="9"/>
            <color indexed="81"/>
            <rFont val="Tahoma"/>
            <family val="2"/>
          </rPr>
          <t>_</t>
        </r>
        <r>
          <rPr>
            <sz val="9"/>
            <color indexed="81"/>
            <rFont val="細明體"/>
            <family val="3"/>
            <charset val="136"/>
          </rPr>
          <t>第二章：基礎飛行原理</t>
        </r>
        <r>
          <rPr>
            <sz val="9"/>
            <color indexed="81"/>
            <rFont val="Tahoma"/>
            <family val="2"/>
          </rPr>
          <t>.txt</t>
        </r>
        <r>
          <rPr>
            <sz val="9"/>
            <color indexed="81"/>
            <rFont val="細明體"/>
            <family val="3"/>
            <charset val="136"/>
          </rPr>
          <t>」上傳至</t>
        </r>
        <r>
          <rPr>
            <sz val="9"/>
            <color indexed="81"/>
            <rFont val="Tahoma"/>
            <family val="2"/>
          </rPr>
          <t xml:space="preserve"> LINE </t>
        </r>
        <r>
          <rPr>
            <sz val="9"/>
            <color indexed="81"/>
            <rFont val="細明體"/>
            <family val="3"/>
            <charset val="136"/>
          </rPr>
          <t>的</t>
        </r>
        <r>
          <rPr>
            <sz val="9"/>
            <color indexed="81"/>
            <rFont val="Tahoma"/>
            <family val="2"/>
          </rPr>
          <t xml:space="preserve"> </t>
        </r>
        <r>
          <rPr>
            <sz val="9"/>
            <color indexed="81"/>
            <rFont val="細明體"/>
            <family val="3"/>
            <charset val="136"/>
          </rPr>
          <t>「</t>
        </r>
        <r>
          <rPr>
            <sz val="9"/>
            <color indexed="81"/>
            <rFont val="Tahoma"/>
            <family val="2"/>
          </rPr>
          <t>Amo</t>
        </r>
        <r>
          <rPr>
            <sz val="9"/>
            <color indexed="81"/>
            <rFont val="細明體"/>
            <family val="3"/>
            <charset val="136"/>
          </rPr>
          <t>無人機</t>
        </r>
        <r>
          <rPr>
            <sz val="9"/>
            <color indexed="81"/>
            <rFont val="Tahoma"/>
            <family val="2"/>
          </rPr>
          <t>UAV</t>
        </r>
        <r>
          <rPr>
            <sz val="9"/>
            <color indexed="81"/>
            <rFont val="細明體"/>
            <family val="3"/>
            <charset val="136"/>
          </rPr>
          <t xml:space="preserve">」群組。
</t>
        </r>
        <r>
          <rPr>
            <sz val="9"/>
            <color indexed="81"/>
            <rFont val="Tahoma"/>
            <family val="2"/>
          </rPr>
          <t>6.(</t>
        </r>
        <r>
          <rPr>
            <sz val="9"/>
            <color indexed="81"/>
            <rFont val="細明體"/>
            <family val="3"/>
            <charset val="136"/>
          </rPr>
          <t>手機</t>
        </r>
        <r>
          <rPr>
            <sz val="9"/>
            <color indexed="81"/>
            <rFont val="Tahoma"/>
            <family val="2"/>
          </rPr>
          <t xml:space="preserve"> LINE </t>
        </r>
        <r>
          <rPr>
            <sz val="9"/>
            <color indexed="81"/>
            <rFont val="細明體"/>
            <family val="3"/>
            <charset val="136"/>
          </rPr>
          <t>群組上</t>
        </r>
        <r>
          <rPr>
            <sz val="9"/>
            <color indexed="81"/>
            <rFont val="Tahoma"/>
            <family val="2"/>
          </rPr>
          <t xml:space="preserve">) </t>
        </r>
        <r>
          <rPr>
            <sz val="9"/>
            <color indexed="81"/>
            <rFont val="細明體"/>
            <family val="3"/>
            <charset val="136"/>
          </rPr>
          <t>打開本檔，再打開</t>
        </r>
        <r>
          <rPr>
            <sz val="9"/>
            <color indexed="81"/>
            <rFont val="Tahoma"/>
            <family val="2"/>
          </rPr>
          <t xml:space="preserve"> iPhone </t>
        </r>
        <r>
          <rPr>
            <sz val="9"/>
            <color indexed="81"/>
            <rFont val="細明體"/>
            <family val="3"/>
            <charset val="136"/>
          </rPr>
          <t>營幕朗讀。</t>
        </r>
      </text>
    </comment>
  </commentList>
</comments>
</file>

<file path=xl/sharedStrings.xml><?xml version="1.0" encoding="utf-8"?>
<sst xmlns="http://schemas.openxmlformats.org/spreadsheetml/2006/main" count="756" uniqueCount="529">
  <si>
    <t>題號</t>
  </si>
  <si>
    <t>題目</t>
  </si>
  <si>
    <t>A</t>
  </si>
  <si>
    <t>B</t>
  </si>
  <si>
    <t>C</t>
  </si>
  <si>
    <t>D</t>
  </si>
  <si>
    <t>答案</t>
  </si>
  <si>
    <t>題解</t>
  </si>
  <si>
    <t>1</t>
  </si>
  <si>
    <t>以上皆是。</t>
  </si>
  <si>
    <t>2</t>
  </si>
  <si>
    <t>3</t>
  </si>
  <si>
    <t>4</t>
  </si>
  <si>
    <t>5</t>
  </si>
  <si>
    <t>6</t>
  </si>
  <si>
    <t>7</t>
  </si>
  <si>
    <t>8</t>
  </si>
  <si>
    <t>9</t>
  </si>
  <si>
    <t>10</t>
  </si>
  <si>
    <t>11</t>
  </si>
  <si>
    <t>12</t>
  </si>
  <si>
    <t>13</t>
  </si>
  <si>
    <t>14</t>
  </si>
  <si>
    <t>15</t>
  </si>
  <si>
    <t>16</t>
  </si>
  <si>
    <t>17</t>
  </si>
  <si>
    <t>18</t>
  </si>
  <si>
    <t>以上皆非。</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</si>
  <si>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</si>
  <si>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</si>
  <si>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</si>
  <si>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</si>
  <si>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</si>
  <si>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</si>
  <si>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</si>
  <si>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</si>
  <si>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</si>
  <si>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</si>
  <si>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</si>
  <si>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</si>
  <si>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</si>
  <si>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</si>
  <si>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</si>
  <si>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</si>
  <si>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</si>
  <si>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</si>
  <si>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</si>
  <si>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</si>
  <si>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</si>
  <si>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</si>
  <si>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</si>
  <si>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</si>
  <si>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</si>
  <si>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</si>
  <si>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</si>
  <si>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</si>
  <si>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</si>
  <si>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</si>
  <si>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</si>
  <si>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</si>
  <si>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</si>
  <si>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</si>
  <si>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</si>
  <si>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</si>
  <si>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</si>
  <si>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</si>
  <si>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</si>
  <si>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</si>
  <si>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</si>
  <si>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</si>
  <si>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</si>
  <si>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</si>
  <si>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</si>
  <si>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</si>
  <si>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</si>
  <si>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</si>
  <si>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</si>
  <si>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</si>
  <si>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</si>
  <si>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</si>
  <si>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</si>
  <si>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</si>
  <si>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</si>
  <si>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</si>
  <si>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</si>
  <si>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</si>
  <si>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</si>
  <si>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</si>
  <si>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</si>
  <si>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</si>
  <si>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</si>
  <si>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</si>
  <si>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Question</t>
    <phoneticPr fontId="1" type="noConversion"/>
  </si>
  <si>
    <t>A</t>
    <phoneticPr fontId="1" type="noConversion"/>
  </si>
  <si>
    <t>B</t>
    <phoneticPr fontId="1" type="noConversion"/>
  </si>
  <si>
    <t>C</t>
    <phoneticPr fontId="1" type="noConversion"/>
  </si>
  <si>
    <t>D</t>
    <phoneticPr fontId="1" type="noConversion"/>
  </si>
  <si>
    <t>"="答案是： "&amp;IF(G2="A",1,IF(G2="B",2,IF(G2="C",3,IF(G2=("D"),4,"XXXX"))))"</t>
    <phoneticPr fontId="1" type="noConversion"/>
  </si>
  <si>
    <t>Note</t>
    <phoneticPr fontId="1" type="noConversion"/>
  </si>
  <si>
    <t xml:space="preserve">    </t>
    <phoneticPr fontId="1" type="noConversion"/>
  </si>
  <si>
    <t>感測器。</t>
  </si>
  <si>
    <t>不變。</t>
  </si>
  <si>
    <t>升力不變。</t>
  </si>
  <si>
    <t>高度。</t>
  </si>
  <si>
    <t>升力增加。</t>
  </si>
  <si>
    <t>朗讀完畢，祝你考試順利。</t>
    <phoneticPr fontId="1" type="noConversion"/>
  </si>
  <si>
    <t>朗讀完畢，祝你考試順利。</t>
    <phoneticPr fontId="1" type="noConversion"/>
  </si>
  <si>
    <t>當空氣密度增加時，對飛機升力的影響為何者</t>
  </si>
  <si>
    <t>升力降低。</t>
  </si>
  <si>
    <t>升力有時增加有時降低。</t>
  </si>
  <si>
    <t>下列何者非影響空氣密度之因素</t>
  </si>
  <si>
    <t>溫度。</t>
  </si>
  <si>
    <t>濕度。</t>
  </si>
  <si>
    <t>應力。</t>
  </si>
  <si>
    <t>當空氣中分子較少且稀薄，表示其密度高度為何</t>
  </si>
  <si>
    <t>越高。</t>
  </si>
  <si>
    <t>越低。</t>
  </si>
  <si>
    <t>可能高也可能低。</t>
  </si>
  <si>
    <t>無法判斷。</t>
  </si>
  <si>
    <t>當空氣中分子較多且濃厚，表示其密度高度為何</t>
  </si>
  <si>
    <t>空氣分子較多且濃厚意味著空氣密度高。高密度的空氣與標準大氣中低海拔處的空氣密度相符，因此其『密度高度越低』。低密度高度是飛行的理想環境，能提供無人機極佳的發動機效率與升力性能。</t>
  </si>
  <si>
    <t>高密度高度之環境比較不會出現於下列何處</t>
  </si>
  <si>
    <t>低海拔處。</t>
  </si>
  <si>
    <t>高溫處。</t>
  </si>
  <si>
    <t>非常潮濕之處。</t>
  </si>
  <si>
    <t>低大氣壓力之處。</t>
  </si>
  <si>
    <t>高密度高度意指空氣稀薄的環境。高溫、高濕度、低大氣壓力均會導致空氣密度降低(即拉高密度高度)。相對地，低海拔處通常氣壓較高、空氣較為濃厚，屬於低密度高度環境，因此『高密度高度』比較不會出現在低海拔處。</t>
  </si>
  <si>
    <t>低密度高度之環境比較不會出現於下列何處</t>
  </si>
  <si>
    <t>大氣壓力極高之處。</t>
  </si>
  <si>
    <t>乾燥處。</t>
  </si>
  <si>
    <t>低密度高度意指空氣密集的良好飛行環境。高大氣壓力、低海拔以及乾燥空氣(水氣少)皆會使空氣密度增加，進而降低密度高度。而『高溫處』會使空氣分子膨脹、密度下降，表現出高密度高度特徵，因此低密度高度環境絕對不會出現在高溫處。</t>
  </si>
  <si>
    <t>空氣可藉由外界的作功達到下列哪種效果</t>
  </si>
  <si>
    <t>加工成形。</t>
  </si>
  <si>
    <t>染色。</t>
  </si>
  <si>
    <t>壓縮及膨脹。</t>
  </si>
  <si>
    <t>以上皆主。</t>
  </si>
  <si>
    <t>大氣是由氣體分子所組成的流體，具備顯著的可壓縮性。當外界對空氣施加力(做功)時(如氣流通過收縮管道或上升受壓改變)，空氣體積會隨之發生『壓縮』或『膨脹』，進而改變其溫度與壓力，這是熱力學與航空氣象的核心原理。</t>
  </si>
  <si>
    <t>於固定空氣體積下，升溫時該體積空氣密度減少，降溫時該體積空氣密度為下列何種變化</t>
  </si>
  <si>
    <t>增加。</t>
  </si>
  <si>
    <t>減少。</t>
  </si>
  <si>
    <t>有時增加有時減少。</t>
  </si>
  <si>
    <t>根據氣體狀態方程($P = \rho R T$)，在固定體積或恆定壓力下，氣體的密度($\rho$)與絕對溫度($T$)成反比。當空氣溫度下降(降溫)時，氣體分子的熱運動減弱、彼此靠攏，導致單位體積內的分子數量增加，即空氣密度『增加』。</t>
  </si>
  <si>
    <t>對流層裡，溫度及壓力均隨高度增加而有下列何種變化</t>
  </si>
  <si>
    <t>降低。</t>
  </si>
  <si>
    <t>有時增加有時降低。</t>
  </si>
  <si>
    <t>在地球大氣的對流層中，大氣的主要熱源來自於地表吸收太陽輻射後的長波長再輻射，且上方空氣柱變短使壓力減小。因此，隨著海拔高度的增加，氣溫(平均每上升1,000英呎下降2°C)與大氣壓力均呈現持續『降低』的現象。</t>
  </si>
  <si>
    <t>下列有關大氣壓力量測之敘述，何者錯誤</t>
  </si>
  <si>
    <t>國際標準大氣(International Standard Atmosphere,ISA)為各國公認之參考校正基準。</t>
  </si>
  <si>
    <t>海平面大氣壓力為29.92英吋汞柱(inHg)。</t>
  </si>
  <si>
    <t>一標準大氣壓力等於1017.2毫巴值。</t>
  </si>
  <si>
    <t>每上升1,000英呎，氣壓值減少約1英吋汞柱。</t>
  </si>
  <si>
    <t>標準一大氣壓的29.92吋汞柱換算成毫巴值為下列哪個數值</t>
  </si>
  <si>
    <t>10.132。</t>
  </si>
  <si>
    <t>101.32。</t>
  </si>
  <si>
    <t>1013.2。</t>
  </si>
  <si>
    <t>10132。</t>
  </si>
  <si>
    <t>大氣壓力的單位換算中，標準海平面氣壓等於 29.92 英吋汞柱，國際單位制(SI)對應數值約為 1013.25 毫巴(millibar，縮寫為 mb)或百帕(hPa)。故最適選項為 (C) 1013.2。</t>
  </si>
  <si>
    <t>大氣壓力之實際值與標準值存在差距，係由於哪項因素所影響</t>
  </si>
  <si>
    <t>壓力錶廠牌差異。</t>
  </si>
  <si>
    <t>地面溫度不平均。</t>
  </si>
  <si>
    <t>壓力錶讀法差異。</t>
  </si>
  <si>
    <t>壓力錶校正值差異。</t>
  </si>
  <si>
    <t>地球表面由於地形複雜(陸地、海洋、植被不同)，受太陽輻射照射後吸熱速度不一，導致『地面溫度不平均』。溫度的差異引發空氣的冷縮熱脹與垂直對流，進而造成各地實際大氣壓力與標準大氣壓(ISA)之間產生高低的差距。</t>
  </si>
  <si>
    <t>若遙控無人機操作人未能注意大氣壓力實際值與標準值間之差距並適時修正，可能無法精確掌握何項資訊</t>
  </si>
  <si>
    <t>實際高度。</t>
  </si>
  <si>
    <t>實際航向。</t>
  </si>
  <si>
    <t>實際滾轉角。</t>
  </si>
  <si>
    <t>實際引擎轉速。</t>
  </si>
  <si>
    <t>多數無人機與有人機的氣壓高度計是透過測量當前大氣壓力來推算飛行高度。如果當地的實際氣壓偏離標準值(例如行經低壓區)，而操作人未及時修正氣壓校正值(如 QNH)，高度計將產生讀數誤差，導致操作人無法精確掌握無人機的『實際高度』，增加撞地或空域侵犯的風險。</t>
  </si>
  <si>
    <t>氣象資料顯示某區域之氣壓值有向上提升之趨勢，代表該區域天氣狀況有何種變化</t>
  </si>
  <si>
    <t>天氣轉壞。</t>
  </si>
  <si>
    <t>天氣可能轉好也可能轉壞。</t>
  </si>
  <si>
    <t>天氣好轉。</t>
  </si>
  <si>
    <t>當氣壓值持續上升時，通常表示該空域正受到高壓系統(或脊線)控制。高壓區內氣流以下沉運動為主，能有效抑制雲霧與對流的發展，帶來晴朗、穩定的好天氣，故代表『天氣好轉』。</t>
  </si>
  <si>
    <t>氣象資料顯示某區域之氣壓值有向下降低之趨勢，代表該區域天氣狀況有何種變化</t>
  </si>
  <si>
    <t>天氣有時晴朗有時轉壞。</t>
  </si>
  <si>
    <t>氣壓值向下降低意味著低壓系統、氣旋或鋒面正在逼近。低壓區的核心特徵為四周空氣向中心匯集並被迫向上抬升(上升氣流)，極易使水氣凝結成雲致雨，引發強風、降雨等惡劣氣象，即『天氣轉壞』。</t>
  </si>
  <si>
    <t>空氣的水平運動稱為</t>
  </si>
  <si>
    <t>「雲」。</t>
  </si>
  <si>
    <t>「風」。</t>
  </si>
  <si>
    <t>「霧」。</t>
  </si>
  <si>
    <t>「霾」。</t>
  </si>
  <si>
    <t>由於各地的氣壓分布不均，空氣會從高氣壓區域水平流向低氣壓區域，這種大氣分子的『水平運動』在氣象學上即定義為『風』。垂直方向的運動則通常稱為氣流(上升氣流或下沉氣流)。</t>
  </si>
  <si>
    <t>有關風速的單位下列何者為非</t>
  </si>
  <si>
    <t>公尺/每秒 (m/s)。</t>
  </si>
  <si>
    <t>公里/每小時 (km/h)。</t>
  </si>
  <si>
    <t>海浬/每小時(kts)。</t>
  </si>
  <si>
    <t>公斤/每小時(kg)。</t>
  </si>
  <si>
    <t>遙控無人機通常應於下列哪種風向下起降</t>
  </si>
  <si>
    <t>順風。</t>
  </si>
  <si>
    <t>側風。</t>
  </si>
  <si>
    <t>逆風。</t>
  </si>
  <si>
    <t>任何風向。</t>
  </si>
  <si>
    <t>遙控無人飛機於逆風下起飛，不會有以下哪種特性</t>
  </si>
  <si>
    <t>增加穩定性。</t>
  </si>
  <si>
    <t>增加操縱性。</t>
  </si>
  <si>
    <t>減少起飛距離。</t>
  </si>
  <si>
    <t>減少操縱性。</t>
  </si>
  <si>
    <t>逆風起飛時，流經機翼與操縱面(副翼、升降舵等)的相對氣流速度較快，會顯著『增加穩定性與操縱性』，同時使得飛機能以極短的地面滑行距離離地(減少起飛距離)。因此，逆風起飛絕對『不會』發生減少操縱性的情況。</t>
  </si>
  <si>
    <t>遙控無人機飛經下列哪個區域較易遭受亂流影響，且其亂流強度與周遭環境有密切關聯</t>
  </si>
  <si>
    <t>大草原區。</t>
  </si>
  <si>
    <t>寬廣湖泊區。</t>
  </si>
  <si>
    <t>平坦操場上空。</t>
  </si>
  <si>
    <t>深山峽谷區。</t>
  </si>
  <si>
    <t>『深山峽谷區』地形崎嶇起伏劇烈，當強風吹經山嶺、隘口時，受地形強制阻擋與擠壓，會產生嚴重的機械亂流、迴旋氣流及強烈的剪切風。此區域的亂流強度與風速大小、山勢走向有密切關聯，對無人機的穩定飛行威脅極大。</t>
  </si>
  <si>
    <t>當越強勁的風吹過多山地區時,背風面的風場會如何變化</t>
  </si>
  <si>
    <t>漸趨平穩。</t>
  </si>
  <si>
    <t>有時平穩有時不平穩。</t>
  </si>
  <si>
    <t>漸趨不平穩。</t>
  </si>
  <si>
    <t>強風跨越山脈時，會在山脊後方(背風面)因地形阻擋形成劇烈的下沉氣流、渦流及山岳波，風速越強，背風面的風場越雜亂、越不平穩，是無人機飛行的高風險區。</t>
  </si>
  <si>
    <t>遙控無人機飛航活動期間,可能於任何高度遭遇不同風切狀況,其中以哪一項對其操控性影響最大</t>
  </si>
  <si>
    <t>超高空風切。</t>
  </si>
  <si>
    <t>高空風切。</t>
  </si>
  <si>
    <t>向量風切。</t>
  </si>
  <si>
    <t>低空風切。</t>
  </si>
  <si>
    <t>風切(Wind Shear)是指風向或風速在短距離內發生劇烈改變。由於無人機起飛與降落都在低空進行，此時飛行速度慢、高度低，緩衝空間不足，因此「低空風切」對操控性與飛航安全的衝擊最大。</t>
  </si>
  <si>
    <t>遙控無人機於起降階段突遇風速與風向之明顯改變,不會有下列哪種影響</t>
  </si>
  <si>
    <t>飛行姿態改變。</t>
  </si>
  <si>
    <t>飛行軌跡改變。</t>
  </si>
  <si>
    <t>所獲升力改變。</t>
  </si>
  <si>
    <t>最大載重改變。</t>
  </si>
  <si>
    <t>突發風切會立即改變無人機的相對空速與受力，進而引發飛行姿態晃動、航線軌跡偏離以及升力的瞬間增減。然而，無人機的「最大載重」(MTOW)是機體結構設計的固有物理上限，不受當前風向風速影響。</t>
  </si>
  <si>
    <t>下列針對發生於臺灣地區低空風切之敘述,何者較為正確</t>
  </si>
  <si>
    <t>於鋒面過境時較為溫和,西南季風吹拂時較為強烈。</t>
  </si>
  <si>
    <t>於鋒面過境時較為強烈,西南季風吹拂時較為溫和。</t>
  </si>
  <si>
    <t>鋒面過境或西南季風吹拂時均為溫和。</t>
  </si>
  <si>
    <t>鋒面過境或西南季風吹拂時均為強烈。</t>
  </si>
  <si>
    <t>臺灣的低空風切在鋒面系統(如春季梅雨鋒面、冬季冷鋒)過境時，冷暖氣團劇烈交會，風向風速切變強度極為強烈；而夏季常見的西南季風在無特殊地形干擾下，相較之下風切強度較為溫和平順。</t>
  </si>
  <si>
    <t>遙控無人機操作人於操作前及操作時需隨時注意天氣狀況,因天氣因素可能對無人機產生何種影響</t>
  </si>
  <si>
    <t>外觀美感。</t>
  </si>
  <si>
    <t>飛行航向。</t>
  </si>
  <si>
    <t>品牌知名度。</t>
  </si>
  <si>
    <t>重量大小。</t>
  </si>
  <si>
    <t>突如其來的強風、亂流與氣流切變會直接施力於無人機上，迫使其偏離預定的飛行軌道與「飛行航向」。操作人必須隨時監視天氣狀況以維持飛機姿態與安全。</t>
  </si>
  <si>
    <t>下列種天氣現象,與大氣垂直運動無直接關係</t>
  </si>
  <si>
    <t>雷雨。</t>
  </si>
  <si>
    <t>平流霧。</t>
  </si>
  <si>
    <t>冰雹。</t>
  </si>
  <si>
    <t>下爆氣流。</t>
  </si>
  <si>
    <t>雷雨、冰雹與下爆氣流均是由強烈的大氣對流及垂直運動(上升或下沉氣流)所引起。而「平流霧」是暖濕空氣水平移動至較冷的地表或水面上凝結而成，其核心驅動力是水平運動而非垂直運動。</t>
  </si>
  <si>
    <t>大氣穩定度與下列何項因子有直接關係</t>
  </si>
  <si>
    <t>空氣流動方向。</t>
  </si>
  <si>
    <t>空氣中懸浮微粒大小。</t>
  </si>
  <si>
    <t>水氣飽和程度。</t>
  </si>
  <si>
    <t>空氣乾燥程度。</t>
  </si>
  <si>
    <t>於地球表面某特殊地區所生成,具停留時間長且其水平方向之物理性質(如溫度及濕度)等均為一致之廣大空氣體,稱之</t>
  </si>
  <si>
    <t>鋒面。</t>
  </si>
  <si>
    <t>氣團。</t>
  </si>
  <si>
    <t>颶風。</t>
  </si>
  <si>
    <t>塔狀積雲。</t>
  </si>
  <si>
    <t>氣團(Air Mass)的氣象學定義即為：在廣闊的地表區域(如西伯利亞源地、太平洋源地)長期停留，使得內部水平方向之溫度、濕度與穩定度等物理性質分布極為均勻的龐大空氣塊。</t>
  </si>
  <si>
    <t>下列哪個城市所處位置之氣候條件,較易發生午後雷陣雨</t>
  </si>
  <si>
    <t>東京。</t>
  </si>
  <si>
    <t>新加坡。</t>
  </si>
  <si>
    <t>莫斯科。</t>
  </si>
  <si>
    <t>倫敦。</t>
  </si>
  <si>
    <t>「新加坡」位於赤道熱帶雨林氣候區，常年高溫多雨。白天陽光強烈照射地表，使得近地面空氣迅速受熱膨脹上升，極易在午後觸發強烈的熱對流，形成午後雷陣雨。</t>
  </si>
  <si>
    <t>一定量空氣於一定溫度下,所能容納之下列何者亦有其限度</t>
  </si>
  <si>
    <t>PM2.5</t>
  </si>
  <si>
    <t>微生物。</t>
  </si>
  <si>
    <t>水氣量。</t>
  </si>
  <si>
    <t>細菌。</t>
  </si>
  <si>
    <t>空氣所能包含的水蒸氣(水氣)並非無限。在特定的溫度下，單位體積空氣所能容納的水氣量存在一個物理上限(即飽和水氣壓)，達到上限即為飽和。</t>
  </si>
  <si>
    <t>當空氣中水氣含量已達其最高限度時,此時相對溼度為何</t>
  </si>
  <si>
    <t>0.2</t>
  </si>
  <si>
    <t>0.4。</t>
  </si>
  <si>
    <t>0.8。</t>
  </si>
  <si>
    <t>相對濕度是空氣中實際水氣量與同溫下最大可能水氣量的比值。當水氣含量達到最高限度(飽和狀態)時，比值為 100%，以小數表示即為 1。</t>
  </si>
  <si>
    <t>空氣能容納水氣量之多寡與下列何者有密切關係</t>
  </si>
  <si>
    <t>空氣含氧量。</t>
  </si>
  <si>
    <t>空氣雜質含量。</t>
  </si>
  <si>
    <t>空氣惰性氣體成份。</t>
  </si>
  <si>
    <t>大氣的熱力學特性顯示，空氣容納水氣的能力完全取決於「溫度」。溫度越高，空氣分子間距與動能越大，所能容納的最大水氣量就越多；溫度下降時，容納水氣上限降低。</t>
  </si>
  <si>
    <t>已飽和之水氣如遇溫度持續下降,不會產生下列哪種現象</t>
  </si>
  <si>
    <t>霧。</t>
  </si>
  <si>
    <t>雲。</t>
  </si>
  <si>
    <t>雨滴。</t>
  </si>
  <si>
    <t>風。</t>
  </si>
  <si>
    <t>當飽和空氣遭遇溫度持續下降時，超額的水氣會開始凝結，在地面形成霧，在高空形成雲，累積變大則降下雨滴。而「風」是由於水平氣壓梯度力產生的空氣運動，非水氣凝結直接引發。</t>
  </si>
  <si>
    <t>空氣中實際所含水氣量,與相同溫度下可含最大水氣量之百分比,稱為</t>
  </si>
  <si>
    <t>絕對濕度。</t>
  </si>
  <si>
    <t>相對濕度。</t>
  </si>
  <si>
    <t>同溫濕度。</t>
  </si>
  <si>
    <t>實際濕度.</t>
  </si>
  <si>
    <t>氣象學中，「相對濕度」(Relative Humidity)的標準定義即是當前大氣中實際包含的水氣量，與在相同溫度條件下大氣所能容納的最大飽和水氣量之間的百分比率。</t>
  </si>
  <si>
    <t>空氣中濕度越高,會導致下列哪種情形</t>
  </si>
  <si>
    <t>空氣的壓力越大。</t>
  </si>
  <si>
    <t>空氣密度越低。</t>
  </si>
  <si>
    <t>飛行器升力增加。</t>
  </si>
  <si>
    <t>涼爽度提高。</t>
  </si>
  <si>
    <t>當空氣溫度等於露點溫度時,即達到何種狀況</t>
  </si>
  <si>
    <t>水氣沸點。</t>
  </si>
  <si>
    <t>水氣飽和點。</t>
  </si>
  <si>
    <t>水氣熔點。</t>
  </si>
  <si>
    <t>水氣蒸發點。</t>
  </si>
  <si>
    <t>「露點溫度」(Dew Point)是指在固定氣壓與水氣含量下，空氣冷卻至水氣開始凝結出水滴時的溫度。當環境氣溫下降到等於露點溫度時，空氣即達到 100% 的「水氣飽和點」。</t>
  </si>
  <si>
    <t>水汽飽和時不會產生下列哪種現象</t>
  </si>
  <si>
    <t>雨。</t>
  </si>
  <si>
    <t>雷爆。</t>
  </si>
  <si>
    <t>水氣達到飽和並冷卻時，會凝結形成雲、霧、雨等水文現象。而「雷暴」(Thunderstorm)的產生除了水氣飽和外，還必須具備「不穩定的大氣結構」以及「強烈的抬升對流力」，因此僅水氣飽和不會直接產生雷暴。</t>
  </si>
  <si>
    <t>「霧」依其形成條件及特性分有不同種類,下列何者非常用之分類</t>
  </si>
  <si>
    <t>蒸氣霧。</t>
  </si>
  <si>
    <t>鋒面霧。</t>
  </si>
  <si>
    <t>高空霧。</t>
  </si>
  <si>
    <t>氣象學對接近地面之霧的常用科學分類包含：平流霧、輻射霧、蒸氣霧、鋒面霧、上坡霧(山坡霧)等。而「高空霧」並非標準的分類名詞，高空的水氣聚集成雲而非霧。</t>
  </si>
  <si>
    <t>有關平流霧之特點,下列何者為非</t>
  </si>
  <si>
    <t>日出後消散快速。</t>
  </si>
  <si>
    <t>相對濕度較高。</t>
  </si>
  <si>
    <t>不容易消散。</t>
  </si>
  <si>
    <t>可能發生於沿海區域。</t>
  </si>
  <si>
    <t>平流霧是由於暖濕空氣持續流經寒冷地表而形成，其範圍廣、厚度大且水氣補充源源不斷，因此「日出後的陽光照射往往無法使其快速消散」，通常需要等風向轉變或冷空氣移入才會散去。故 (A) 敘述錯誤。</t>
  </si>
  <si>
    <t>下列哪一種情況能有助於平流霧之消散</t>
  </si>
  <si>
    <t>風速變小。</t>
  </si>
  <si>
    <t>風向轉變。</t>
  </si>
  <si>
    <t>溫度升高。</t>
  </si>
  <si>
    <t>濕度增高。</t>
  </si>
  <si>
    <t>平流霧的維持極度依賴特定方向的暖濕氣流輸送。一旦「風向轉變」，切斷了原本溫暖潮濕的空氣來源，或是換成乾燥的空氣灌入，平流霧便會迅速消散。</t>
  </si>
  <si>
    <t>有關輻射霧之特點,下列何者為非</t>
  </si>
  <si>
    <t>日出後漸漸消散。</t>
  </si>
  <si>
    <t>大都發生於冬季。</t>
  </si>
  <si>
    <t>相較於平流霧比較不容易消散。</t>
  </si>
  <si>
    <t>通常地面風速微弱、空氣穩定。</t>
  </si>
  <si>
    <t>輻射霧是由於夜間地表長波輻射冷卻，使近地面空氣降溫至露點而形成，厚度較薄。日出後隨著太陽加溫地表，輻射霧會快速由下而上「漸漸消散」。相較於規模宏大的平流霧，輻射霧是「比較容易消散」的。因此 (C) 敘述為非。</t>
  </si>
  <si>
    <t>冷空氣因流經溫暖水面之蒸發作用使其中水氣增加,因而凝結成下列哪種霧的型態</t>
  </si>
  <si>
    <t>輻射霧。</t>
  </si>
  <si>
    <t>山坡霧。</t>
  </si>
  <si>
    <t>當寒冷且乾燥的空氣移動到溫暖的水面上(如冬天的湖泊或溫泉)，溫暖水面快速蒸發出大量水蒸氣進入冷空氣中，隨即在冰冷的空氣中凝結成絲縷狀的霧，這種型態即稱為「蒸氣霧」(Steam Fog)。</t>
  </si>
  <si>
    <t>蒸氣霧常出現於下列哪個季節</t>
  </si>
  <si>
    <t>春夏季節。</t>
  </si>
  <si>
    <t>夏末季節。</t>
  </si>
  <si>
    <t>秋冬季節。</t>
  </si>
  <si>
    <t>春末季節。</t>
  </si>
  <si>
    <t>蒸氣霧發生的首要條件是「水面溫度顯著高於空氣溫度」。這在「秋冬季節」最為常見，此時北方冷氣團南下，空氣氣溫驟降，而大水體(如河流、海洋)由於比熱大，仍維持較高的水溫。</t>
  </si>
  <si>
    <t>於兩股不同性質氣團之交界面,當空氣自高空往下移動自近地面較冷空氣而凝結所成之霧,稱之</t>
  </si>
  <si>
    <t>在冷暖氣團交界的鋒面附近，暖氣團的雨滴降落穿過下方的冷空氣層時，雨滴蒸發使冷空氣內的水氣達到飽和而凝結形成的霧，科學上稱為「鋒面霧」(Frontal Fog)。</t>
  </si>
  <si>
    <t>鋒面霧多伴隨何種天氣現象發生</t>
  </si>
  <si>
    <t>颱風。</t>
  </si>
  <si>
    <t>雷陣雨。</t>
  </si>
  <si>
    <t>龍捲風。</t>
  </si>
  <si>
    <t>顧名思義，「鋒面霧」必然是緊隨「鋒面系統」的移動與過境而產生的氣象衍生現象，常伴隨著鋒面特有的連續性降雨與氣溫下降。</t>
  </si>
  <si>
    <t>平流和輻射兩種物理過程亦可相輔相成,造成下列哪種霧的發生</t>
  </si>
  <si>
    <t>平流輻射霧。</t>
  </si>
  <si>
    <t>當暖濕空氣流經較冷的地表(平流過程)，到了夜間地表又因長波輻射進一步冷卻(輻射過程)，兩種物理效應重疊作用下所生成的霧，即被稱為「平流輻射霧」。</t>
  </si>
  <si>
    <t>當周遭空氣溫度下降至低於露點,水氣因此凝結成水滴並附著於地表或建築物上,其稱之</t>
  </si>
  <si>
    <t>露。</t>
  </si>
  <si>
    <t>霜。</t>
  </si>
  <si>
    <t>在晴朗無風的夜晚，地面物體因輻射冷卻降溫，當其表面溫度低於周遭空氣的露點時，空氣中的水氣便會直接在植物葉片、建築物或地表凝結成小水滴，這就是「露」(Dew)。</t>
  </si>
  <si>
    <t>附著於航空器上之露珠若凝結成固態霜,對飛航安全有何影響</t>
  </si>
  <si>
    <t>對飛安有幫助。</t>
  </si>
  <si>
    <t>對飛安可能造成危害。</t>
  </si>
  <si>
    <t>對飛安並無影響。</t>
  </si>
  <si>
    <t>對飛安有時可能造成危害有時無影響。</t>
  </si>
  <si>
    <t>當露珠因氣溫降至冰點以下結成固態霜時，粗糙的結霜表面會破壞機翼原有的流線型設計，導致流經機翼的空氣層流轉變為紊流，這「對飛安可能造成嚴重危害」(降低升力、大幅增加阻力、甚至使無人機提早失速墜毀)。</t>
  </si>
  <si>
    <t>附著於機體表面的霜在飛行時不會產生下列哪種情形</t>
  </si>
  <si>
    <t>擾動流經機翼之空氣。</t>
  </si>
  <si>
    <t>降低升力。</t>
  </si>
  <si>
    <t>增加阻力。</t>
  </si>
  <si>
    <t>增加飛航效率。</t>
  </si>
  <si>
    <t>結霜會使機翼表面變得極度粗糙，進而擾動流經機翼的層流空氣、大幅降低機翼產生的升力並增加摩擦與形狀阻力。霜絕對「不會」帶來增加飛航效率的正面效果。</t>
  </si>
  <si>
    <t>於大陸型氣候區域執行深秋早晨之飛行任務前,務必進行下列哪個程序以確保安全</t>
  </si>
  <si>
    <t>暖身程序。</t>
  </si>
  <si>
    <t>點名程序。</t>
  </si>
  <si>
    <t>除霜程序。</t>
  </si>
  <si>
    <t>冥想程序。</t>
  </si>
  <si>
    <t>在大陸型氣候的深秋早晨，夜間強烈輻射冷卻常使停放在戶外或機庫的無人機表面覆蓋一層薄霜。在起飛前「務必徹底執行除霜程序」，清除所有翼面的冰霜，才能保證正常的動態升力與飛行安全。</t>
  </si>
  <si>
    <t>雲有下列哪幾種型態</t>
  </si>
  <si>
    <t>積狀雲。</t>
  </si>
  <si>
    <t>層狀雲。</t>
  </si>
  <si>
    <t>卷狀雲。</t>
  </si>
  <si>
    <t>世界氣象組織依據外觀形態將大氣中的雲基本歸納為三大類：垂直發展多如棉花結構的「積狀雲」、均勻鋪展如帷幕的「層狀雲」，以及由冰晶組成呈羽毛絲縷狀的「卷狀雲」。</t>
  </si>
  <si>
    <t>雲的型態依據雲所在的高度可以分成下列哪幾種</t>
  </si>
  <si>
    <t>高雲族。</t>
  </si>
  <si>
    <t>中雲族。</t>
  </si>
  <si>
    <t>低雲族。</t>
  </si>
  <si>
    <t>在氣象分類學中，雲按照其底部的平均海拔高度，常規地被劃分為四大雲族：高雲族、中雲族、低雲族以及直展雲族(垂直發展雲)。因此選項包含的高、中、低雲族皆是。</t>
  </si>
  <si>
    <t>高雲族高度大約在6,000公尺以上,主要有下列哪幾種</t>
  </si>
  <si>
    <t>卷雲。</t>
  </si>
  <si>
    <t>卷層雲。</t>
  </si>
  <si>
    <t>卷積雲。</t>
  </si>
  <si>
    <t>中雲族高度大約在2,000~6,000公尺,主要有下列哪幾種</t>
  </si>
  <si>
    <t>高積雲。</t>
  </si>
  <si>
    <t>高層雲。</t>
  </si>
  <si>
    <t>雨層雲。</t>
  </si>
  <si>
    <t>低雲族高度位於2,000公尺以下,包含下列哪幾種</t>
  </si>
  <si>
    <t>積雲。</t>
  </si>
  <si>
    <t>層雲。</t>
  </si>
  <si>
    <t>層積雲。</t>
  </si>
  <si>
    <t>下列何者為常見氣團分類方式</t>
  </si>
  <si>
    <t>依其源地緯度高或低。</t>
  </si>
  <si>
    <t>依其源地為大陸或海洋。</t>
  </si>
  <si>
    <t>依其所經地面為冷空氣或暖空氣。</t>
  </si>
  <si>
    <t>氣團本身冷於周遭空氣稱為</t>
  </si>
  <si>
    <t>暖氣團。</t>
  </si>
  <si>
    <t>冷氣團。</t>
  </si>
  <si>
    <t>冰氣團。</t>
  </si>
  <si>
    <t>熱氣團。</t>
  </si>
  <si>
    <t>當一個氣團移動到某一新地區時，若其內部的溫度「低於該地區周遭的環境空氣溫度」，在熱力學分類上即被定義為「冷氣團」。</t>
  </si>
  <si>
    <t>氣團穩定度決定其籠罩區域的哪種形態</t>
  </si>
  <si>
    <t>社會形態。</t>
  </si>
  <si>
    <t>經濟形態。</t>
  </si>
  <si>
    <t>天氣形態。</t>
  </si>
  <si>
    <t>政治形態。</t>
  </si>
  <si>
    <t>氣團的熱力與動力穩定度(如冷氣團南下受地表加溫變不穩定，或暖氣團北上變穩定)會直接決定其所控制區域的「天氣形態」(如引發晴朗穩定、或觸發對流降雨)。</t>
  </si>
  <si>
    <t>在鋒面兩側的下列哪種現象通常均有明顯的差異</t>
  </si>
  <si>
    <t>風、天氣。</t>
  </si>
  <si>
    <t>鋒面(Front)是冷、暖兩股性質截然不同的氣團在交會時的狹窄不連續界面。因此，在鋒面的兩側，空氣的溫度、濕度(露點)、風向風速以及整體的天氣特徵通常都會呈現極為劇烈且明顯的躍變差異。</t>
  </si>
  <si>
    <t>當冷空氣前進,迫使暖空氣後退而取代暖空氣原有位置,則此時產生之鋒面稱為</t>
  </si>
  <si>
    <t>滯留鋒。</t>
  </si>
  <si>
    <t>暖鋒。</t>
  </si>
  <si>
    <t>冷鋒。</t>
  </si>
  <si>
    <t>囚錮鋒。</t>
  </si>
  <si>
    <t>根據大氣動力學定義，當冷氣團勢力強大、主動向前推進，並切入暖氣團下方將其強制抬升，進而取代原本暖空氣所在的地理位置時，此交界面即稱為「冷鋒」(Cold Front)。</t>
  </si>
  <si>
    <t>當冷暖氣團勢均力敵以致使鋒面呈滯留狀態,此時之鋒面稱為</t>
  </si>
  <si>
    <t>當冷氣團與暖氣團在交會時力量不相上下、彼此僵持不下，使得交界界面移動速度極慢或在某一區域原地徘徊、處於相對靜止狀態時，該鋒面即稱為「滯留鋒」(Stationary Front)，常帶來連續性陰雨。</t>
  </si>
  <si>
    <t>遙控無人機飛經各鋒面區時,可能遭遇下列何項劇烈變化</t>
  </si>
  <si>
    <t>風向。</t>
  </si>
  <si>
    <t>鋒面區是氣象要素最具破壞性的不連續帶。無人機穿越鋒面時，會在一瞬間遭遇溫度的驟降或驟升、濕度的劇烈波動、以及風向的突然切變與強烈亂流，這些變化對飛行控制非常危險。</t>
  </si>
  <si>
    <t>遙控無人機於山區飛行時若遇強風,則可選擇何處飛行相較為平順</t>
  </si>
  <si>
    <t>背風面。</t>
  </si>
  <si>
    <t>側風面。</t>
  </si>
  <si>
    <t>迎風面。</t>
  </si>
  <si>
    <t>在山區迎風面(風吹來的一側)，氣流受到山坡阻擋主要是順著地形緩慢、穩定地向上爬升，其風場相較於背風面雜亂的破碎渦流與強大下沉氣流而言，是「相較為平順」的。</t>
  </si>
  <si>
    <t>遙控無人機於山區飛行時,過了山巔需注意沿何方向所產生之亂流</t>
  </si>
  <si>
    <t>當強風越過山巔(山頂)之後，會在山的另一側(即「背風面」)發生劇烈的轉折與分離，形成可怕的下沉氣流、滾轉波以及無規律的強烈亂流，操作人在此區域必須極度警惕。</t>
  </si>
  <si>
    <t>遙控無人機飛越可見水氣(如雨或雲)時,需注意哪個部位可能發生積冰現象</t>
  </si>
  <si>
    <t>機翼翼面。</t>
  </si>
  <si>
    <t>尾翼翼面。</t>
  </si>
  <si>
    <t>當環境溫度接近或低於冰點，且無人機飛越有過冷水滴的雲霧或降雨區(可見水氣)時，水滴會迅速在接觸面上結冰。機翼翼面、尾翼翼面以及露在外部的氣壓計/皮托管等感測器孔道均可能嚴重「積冰」，導致控制失效。</t>
  </si>
  <si>
    <t>遙控無人機飛行時,於下列哪種情形可能發生積冰現象</t>
  </si>
  <si>
    <t>機體周遭氣溫為攝氏零度。</t>
  </si>
  <si>
    <t>機體周遭氣溫為攝氏零度以下。</t>
  </si>
  <si>
    <t>有可見水氣。</t>
  </si>
  <si>
    <t>結構積冰發生的兩個核心物理條件缺一不可：第一是環境溫度處於攝氏零度或零度以下(過冷環境)；第二是空氣中存在大量的「可見水氣」(如雲、霧、雨、雪)。故以上皆是。</t>
  </si>
  <si>
    <t>當遙控無人機飛越結冰區域時,可能發生下列哪種狀況</t>
  </si>
  <si>
    <t>影響或誤判遙控無人機飛行性能表現。</t>
  </si>
  <si>
    <t>提升遙控無人機飛行性能表現。</t>
  </si>
  <si>
    <t>遙控無人機飛行性能表現可能變好或變壞。</t>
  </si>
  <si>
    <t>不太可能發生任何狀況。</t>
  </si>
  <si>
    <t>積冰會使機體重量暴增、操縱面卡死、並破壞空氣動力外形導致失速速度大幅提高。這會嚴重「影響或使操作人誤判遙控無人機的真實飛行性能表現」，導致不可挽回的空難事故。</t>
  </si>
  <si>
    <t>雷雨的發展循環不包含下列何者</t>
  </si>
  <si>
    <t>發展期。</t>
  </si>
  <si>
    <t>成熟期。</t>
  </si>
  <si>
    <t>重疊期。</t>
  </si>
  <si>
    <t>消散期。</t>
  </si>
  <si>
    <t>標準雷雨(Thunderstorm)的單細胞生命週期在氣象學上精準地劃分為三個階段：1. 發展期(積雲期，全為上升氣流)、2. 成熟期(同時具備上升與下沉氣流，破壞力最強)、3. 消散期(全為下沉氣流)。「重疊期」並非其發展階段。</t>
  </si>
  <si>
    <t>雷雨成熟期具有的特徵為何</t>
  </si>
  <si>
    <t>下沉氣流。</t>
  </si>
  <si>
    <t>開始降水。</t>
  </si>
  <si>
    <t>打雷。</t>
  </si>
  <si>
    <t>「成熟期」是雷雨威脅達到頂峰的階段。其核心特徵為：高空冰晶與大雨滴突破上升氣流屏障開始猛烈向地面「降水(下雨或冰雹)」，降水拖曳空氣形成強烈的「下沉氣流」，並伴隨著劇烈的閃電與「打雷」。</t>
  </si>
  <si>
    <t>雷雨消散期具有的特徵為何</t>
  </si>
  <si>
    <t>降雨減緩。</t>
  </si>
  <si>
    <t>下沉氣流減緩。</t>
  </si>
  <si>
    <t>雷雨雹消散。</t>
  </si>
  <si>
    <t>進入「消散期」後，雷雨內部的上升對流動力耗盡，整座雲體被溫和的下沉氣流所主導。此時，地面的地面「降雨開始逐漸減緩」，雲中的「雷雨雹(對流胞)逐漸消散」，「下沉氣流也隨之逐漸減緩」直至平息。</t>
  </si>
  <si>
    <t>臺北航空氣象中心隸屬於下列哪個機關</t>
  </si>
  <si>
    <t>交通部觀光局飛航服務總臺。</t>
  </si>
  <si>
    <t>交通部民用航空局飛航服務總臺。</t>
  </si>
  <si>
    <t>交通部中央氣象局飛航服務總臺。</t>
  </si>
  <si>
    <t>交通部航政司飛航服務總臺。</t>
  </si>
  <si>
    <t>遙控無人機操作人可透過中央氣象局網頁取得下列哪項資料</t>
  </si>
  <si>
    <t>天氣觀測資料。</t>
  </si>
  <si>
    <t>天氣預報資料。</t>
  </si>
  <si>
    <t>衛星雲圖。</t>
  </si>
  <si>
    <t>我國國家級氣象主管機關(現已升格為交通部中央氣象署)網站提供了極其詳盡的氣象公開資訊，包含即時的「天氣觀測資料」、各時段的「天氣預報資料」以及即時更新的「衛星雲圖」，均可作為無人機飛行前計畫的參考依據。</t>
  </si>
  <si>
    <t>遙控無人機操作人可透過飛航服務總臺所建置之航空氣象服務網(AOAWS)取得下列哪項資料</t>
  </si>
  <si>
    <t>國內外主要機場之即時觀測資料。</t>
  </si>
  <si>
    <t>國內機場6小時天氣預報資料。</t>
  </si>
  <si>
    <t>太平洋地區衛星雲圖。</t>
  </si>
  <si>
    <t>高空風溫圖。</t>
  </si>
  <si>
    <t>考量天氣條件對於遙控無人機操控行為之影響,遙控無人機操作人應具備下列何者之基礎判讀能力</t>
  </si>
  <si>
    <t>航空氣象報文。</t>
  </si>
  <si>
    <t>國內城市氣象報文。</t>
  </si>
  <si>
    <t>外國城市氣象報文。</t>
  </si>
  <si>
    <t>觀光地區氣象報文。</t>
  </si>
  <si>
    <t>為確保國家空域安全與精準氣象評估，無人機操作人(特別是考取普通與專業操作證者)應具備解讀標準「航空氣象報文」(如 METAR 機場例行天氣報告、TAF 機場預報)的基礎判讀與應用能力。</t>
  </si>
  <si>
    <t>航空例行天氣報告中,所使用觀測日期與時間及其代碼說明為下列何者</t>
  </si>
  <si>
    <t>Z字母指示碼;代表UTC時間。</t>
  </si>
  <si>
    <t>L字母指示碼;代表本地時間。</t>
  </si>
  <si>
    <t>T字母指示碼;代表UTC時間。</t>
  </si>
  <si>
    <t>X字母指示碼;代表本地時間。</t>
  </si>
  <si>
    <t>航空例行天氣報告中,所觀測盛行能見度值,其編報方式及單位為何</t>
  </si>
  <si>
    <t>4碼(公尺)。</t>
  </si>
  <si>
    <t>6碼(公尺)。</t>
  </si>
  <si>
    <t>8碼(公尺)。</t>
  </si>
  <si>
    <t>10碼(公尺)。</t>
  </si>
  <si>
    <t>在 METAR 航空天氣報告中，盛行能見度(Prevailing Visibility)是固定以「4位數字」來編報，且其計量標準單位為「公尺」(例如 9999 代表能見度 10 公里以上；4000 代表 4,000 公尺)。</t>
  </si>
  <si>
    <t>航空氣象觀測員將天空劃分成8等份,若觀測到1/8至2/8的天空被雲層遮蓋,該雲量類別稱為下列何者</t>
  </si>
  <si>
    <t>稀雲。</t>
  </si>
  <si>
    <t>疏雲。</t>
  </si>
  <si>
    <t>裂雲。</t>
  </si>
  <si>
    <t>密雲。</t>
  </si>
  <si>
    <t>航空氣象觀測員將天空劃分成8等份,若觀測到3/8至4/8的天空被雲層遮蓋,該雲量類別稱為下列何者</t>
  </si>
  <si>
    <t>航空氣象觀測員將天空劃分成8等份,若觀測到5/8至7/8的天空被雲層遮蓋,該雲量類別稱為下列何者</t>
  </si>
  <si>
    <t>航空氣象觀測員將天空劃分成8等份,若觀測到8/8的天空完全被雲層遮蓋,該雲量類別稱為下列何者</t>
  </si>
  <si>
    <t>航空例行天氣報告中,雲層之雲底高度單位為下列哪一個</t>
  </si>
  <si>
    <t>公尺。</t>
  </si>
  <si>
    <t>公里.</t>
  </si>
  <si>
    <t>呎。</t>
  </si>
  <si>
    <t>浬。</t>
  </si>
  <si>
    <t>終端機場天氣觀測報中,盛行天氣現象包括下列哪個項目</t>
  </si>
  <si>
    <t>風向風速。</t>
  </si>
  <si>
    <t>能見度。</t>
  </si>
  <si>
    <t>天氣狀況及雲組。</t>
  </si>
  <si>
    <t>一分完整的終端機場天氣觀測報告(METAR)中，為了能全面反映機場當前的盛行氣象條件，所包含的觀測核心項目包括了風向與風速、地面盛行能見度、當前的特殊天氣狀況(如雨、霧)以及雲組(雲量與雲高)，因此選項 (D) 以上皆是正確答案。</t>
  </si>
  <si>
    <t>影響空氣密度的三大核心氣象因素為：高度(高度越高，氣壓越低，氣體分子越少，密度越小)、溫度(溫度越高，分子間距變大，密度越小)及濕度(水蒸氣分子比氮氣與氧氣輕，濕度越高則空氣越輕，密度越小)。而『應力』屬於固體力學範疇，並非改變大氣密度的氣象因子。</t>
    <phoneticPr fontId="1" type="noConversion"/>
  </si>
  <si>
    <t>根據空氣動力學升力公式 L = 1/2‧rho‧V 平方‧S‧C_l，升力與空氣密度 (rho) 成正比。當空氣密度增加時，氣流產生的動壓隨之增大，使得機翼上下表面的壓力差(即升力)增加。這也是為何飛機在低海拔、低溫(空氣密度大)的環境中起飛性能較佳的原因。
當空氣密度增加時，飛機的升力會增加。這是因為升力與空氣密度成正比。根據空氣動力學的升力方程式 L = 1/2‧rho‧V 平方‧S‧C_l，當空氣密度（rho）上升時，機翼所能產生的氣動升力也會隨之提升。</t>
    <phoneticPr fontId="1" type="noConversion"/>
  </si>
  <si>
    <t>『密度高度』(Density Altitude)是指標準大氣中與特定空氣密度相對應的高度。當空氣分子較少、空氣稀薄(密度低)時，其表現與標準大氣中較高海拔處的空氣特性相符，因此對應的『密度高度越高』。高密度高度會顯著降低航空器的引擎出力與機翼升力效率。
當空氣中分子較少且稀薄時，代表其密度高度（Density Altitude）越高。「密度高度」是指將當下大氣狀態（包含高度、溫度、濕度與氣壓等）換算為標準大氣壓下所對應的等效高度。高密度高度代表空氣分子稀疏，因此飛機或無人機在此環境下的空氣動力性能會變差。</t>
    <phoneticPr fontId="1" type="noConversion"/>
  </si>
  <si>
    <t>風速是指單位時間內空氣移動的距離。常見的法定與航空計量單位包括公尺/秒 (m over s)、公里/小時 (km over h) 以及航管常用的節即海浬每小時 (knots)。而『公斤/每小時』是質量的時間變化率(如燃油消耗率)，不能作為速度單位。</t>
    <phoneticPr fontId="1" type="noConversion"/>
  </si>
  <si>
    <t>在安全規範下，遙控無人機(尤其是定翼機)應盡量選擇在『逆風』狀態下起飛與降落。逆風能使航空器在較低的地面速度下獲得足夠的相對氣流(空速)以產生升力，縮短起降所需的滑行距離，並提供較佳的動態控制穩定性。</t>
    <phoneticPr fontId="1" type="noConversion"/>
  </si>
  <si>
    <t>大氣穩定度決定了空氣塊抗拒垂直運動的能力。大氣穩定度與空氣的垂直與水平運動、即「空氣流動方向」具備最直接的關聯性。</t>
    <phoneticPr fontId="1" type="noConversion"/>
  </si>
  <si>
    <t>1.0。</t>
    <phoneticPr fontId="1" type="noConversion"/>
  </si>
  <si>
    <t>水分子(H_2_O，分子量約18)比乾燥空氣的主要成分氮氣(N_2，分子量28)與氧氣(O_2，分子量32)還要輕。因此，當空氣中水氣含量越多(濕度越高)時，會排擠重分子，導致整體的「空氣密度越低」，進而降低飛機的升力表現。</t>
    <phoneticPr fontId="1" type="noConversion"/>
  </si>
  <si>
    <t>中雲族分布於 2,000 至 6,000 公尺之間，主要由水滴與冰晶混合組成。其典型成員包括：呈團狀不連續的「高積雲」、均勻成片灰色帷幕的「高層雲」，以及厚密常帶來連續降雨的「雨層雲」。
【】中62，積層雨</t>
    <phoneticPr fontId="1" type="noConversion"/>
  </si>
  <si>
    <t>高度在 6,000 公尺以上的高空，氣溫極低，雲完全由冰晶構成。高雲族主要包括：薄絲狀的「卷雲」、覆蓋全天的「卷層雲」以及呈小鱗片狀的「卷積雲」，皆字帶「卷」字。
【】高6卷</t>
    <phoneticPr fontId="1" type="noConversion"/>
  </si>
  <si>
    <t>低雲族的雲底高度距離地面在 2,000 公尺以下，極為接近無人機的日常操作空域。包含孤立塊狀的「積雲」、扁平霧狀的「層雲」以及由大團雲塊相連的「層積雲」。
【】低2積層層</t>
    <phoneticPr fontId="1" type="noConversion"/>
  </si>
  <si>
    <t>氣團的科學分類法極為全面：
依熱力源地緯度分為極地/熱帶氣團；
依地理性質分為大陸性(乾)/海洋性(濕)氣團；
依其移動時與下墊面的相對熱力關係分為冷氣團與暖氣團。</t>
    <phoneticPr fontId="1" type="noConversion"/>
  </si>
  <si>
    <t>普通操作證學科測驗題庫</t>
  </si>
  <si>
    <t>115年7月22日版</t>
  </si>
  <si>
    <t>第三章：氣象</t>
    <phoneticPr fontId="1" type="noConversion"/>
  </si>
  <si>
    <t>國際民航組織規定雲量以 8 分量(Octas)代表：1/8 至 2/8 被雲遮蔽時，航空天氣報文代碼編為 F E W，中文官方學名翻譯為「稀雲」。
【】口訣： 1 2 稀 3 4 疏 5 7 裂 8 密</t>
    <phoneticPr fontId="1" type="noConversion"/>
  </si>
  <si>
    <t>當觀測到天空有 3/8 至 4/8 被雲層覆蓋遮蔽時，航空天氣報文使用的代碼為 S C T (Scattered)，對應的中文官方標準雲量類別名詞為「疏雲」。
【】口訣： 1 2 稀 3 4 疏 5 7 裂 8 密</t>
    <phoneticPr fontId="1" type="noConversion"/>
  </si>
  <si>
    <t>當天空有高達 5/8 至 7/8 的大面積被雲層遮蔽、僅剩少許縫隙時，航空天氣報告使用的代碼為 B K N (Broken)，中文標準分類名稱為「裂雲」。
【】口訣： 1 2 稀 3 4 疏 5 7 裂 8 密</t>
    <phoneticPr fontId="1" type="noConversion"/>
  </si>
  <si>
    <t>當觀測到 8/8 全天被雲層徹底遮蔽、看不見任何晴空時，航空天氣報告編報代碼為 O V C (Overcast)，對應的官方中文標準雲量類別為「密雲」。
【】口訣： 1 2 稀 3 4 疏 5 7 裂 8 密</t>
    <phoneticPr fontId="1" type="noConversion"/>
  </si>
  <si>
    <t>在標準航空氣象報告(METAR / T A F)中，各雲組後面所接的3位數數字代表雲底高度，其計量基準單位一律為「英呎」(Feet，簡稱呎)，以海平面或機場地面為基準，每 100 呎為一計數單元。</t>
    <phoneticPr fontId="1" type="noConversion"/>
  </si>
  <si>
    <t>全球航空界與標準航空氣象報告(METAR)統一採用協調世界時(U T C)，並在時間數字後方加上字母「Z」作為指示代碼(俗稱祖魯時間，Zulu time)，以避免各國時區混淆。</t>
    <phoneticPr fontId="1" type="noConversion"/>
  </si>
  <si>
    <t>交通部民航局飛航服務總臺建置的航空氣象服務網(A O A W S)主要是針對專業航空飛行員提供即時服務，操作人可登入查詢「國內外主要機場之即時觀測資料(如 METAR 報文)」以精確評估起降環境。</t>
    <phoneticPr fontId="1" type="noConversion"/>
  </si>
  <si>
    <t>我國專責提供民用航空飛航氣象情報服務的「臺北航空氣象中心」，在組織編制上隸屬於「交通部民用航空局飛航服務總臺」(A N W S)。</t>
    <phoneticPr fontId="1" type="noConversion"/>
  </si>
  <si>
    <t>在國際標準大氣(ISA)環境中，海平面標準大氣壓力定義為 29.92 英吋汞柱(inHg)，等值換算應為 1013.25 毫巴(mb/hPa)，而非 1017.2 毫巴。因此選項 (C) 敘述錯誤，為本題之正確答案。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</si>
</sst>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新細明體"/>
      <family val="2"/>
      <scheme val="minor"/>
    </font>
    <font>
      <sz val="9"/>
      <name val="新細明體"/>
      <family val="3"/>
      <charset val="136"/>
      <scheme val="minor"/>
    </font>
    <font>
      <b/>
      <sz val="11"/>
      <color theme="1"/>
      <name val="新細明體"/>
      <family val="1"/>
      <charset val="136"/>
      <scheme val="minor"/>
    </font>
    <font>
      <sz val="11"/>
      <color theme="1"/>
      <name val="新細明體"/>
      <family val="1"/>
      <charset val="136"/>
      <scheme val="minor"/>
    </font>
    <font>
      <b/>
      <sz val="9"/>
      <color indexed="81"/>
      <name val="Tahoma"/>
      <family val="2"/>
    </font>
    <font>
      <sz val="9"/>
      <color indexed="81"/>
      <name val="Tahoma"/>
      <family val="2"/>
    </font>
    <font>
      <sz val="9"/>
      <color indexed="81"/>
      <name val="細明體"/>
      <family val="3"/>
      <charset val="136"/>
    </font>
  </fonts>
  <fills count="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2" fillId="0" borderId="0" xfId="0" applyFont="1" applyAlignment="1">
      <alignment vertical="top" wrapText="1"/>
    </xf>
    <xf numFmtId="0" fontId="2" fillId="0" borderId="0" xfId="0" applyFont="1"/>
    <xf numFmtId="0" fontId="2" fillId="2" borderId="0" xfId="0" applyFont="1" applyFill="1" applyAlignment="1">
      <alignment vertical="top" wrapText="1"/>
    </xf>
    <xf numFmtId="0" fontId="3" fillId="0" borderId="0" xfId="0" applyFont="1" applyAlignment="1">
      <alignment vertical="top" wrapText="1"/>
    </xf>
    <xf numFmtId="0" fontId="3" fillId="0" borderId="0" xfId="0" applyFont="1"/>
    <xf numFmtId="0" fontId="3" fillId="2" borderId="0" xfId="0" applyFont="1" applyFill="1" applyAlignment="1">
      <alignment vertical="top" wrapText="1"/>
    </xf>
    <xf numFmtId="0" fontId="0" fillId="3" borderId="0" xfId="0" applyFill="1"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3"/>
  <sheetViews>
    <sheetView tabSelected="1" zoomScale="127" zoomScaleNormal="100" workbookViewId="0">
      <pane ySplit="1" topLeftCell="A2" activePane="bottomLeft" state="frozen"/>
      <selection pane="bottomLeft" activeCell="B2" sqref="B2"/>
    </sheetView>
  </sheetViews>
  <sheetFormatPr defaultRowHeight="15" x14ac:dyDescent="0.3"/>
  <cols>
    <col min="1" max="1" width="5.625" customWidth="1"/>
    <col min="2" max="2" width="30.625" customWidth="1"/>
    <col min="3" max="6" width="15.25" customWidth="1"/>
    <col min="7" max="7" width="3.625" customWidth="1"/>
    <col min="8" max="8" width="72.25" customWidth="1"/>
  </cols>
  <sheetData>
    <row r="1" spans="1:8" ht="30" x14ac:dyDescent="0.3">
      <c r="A1" s="8" t="s">
        <v>0</v>
      </c>
      <c r="B1" s="8" t="s">
        <v>1</v>
      </c>
      <c r="C1" s="8" t="s">
        <v>2</v>
      </c>
      <c r="D1" s="8" t="s">
        <v>3</v>
      </c>
      <c r="E1" s="8" t="s">
        <v>4</v>
      </c>
      <c r="F1" s="8" t="s">
        <v>5</v>
      </c>
      <c r="G1" s="8" t="s">
        <v>6</v>
      </c>
      <c r="H1" s="8" t="s">
        <v>7</v>
      </c>
    </row>
    <row r="2" spans="1:8" ht="105" x14ac:dyDescent="0.3">
      <c r="A2" s="1" t="s">
        <v>8</v>
      </c>
      <c r="B2" s="1" t="s">
        <v>107</v>
      </c>
      <c r="C2" s="1" t="s">
        <v>104</v>
      </c>
      <c r="D2" s="1" t="s">
        <v>108</v>
      </c>
      <c r="E2" s="1" t="s">
        <v>102</v>
      </c>
      <c r="F2" s="1" t="s">
        <v>109</v>
      </c>
      <c r="G2" s="1" t="s">
        <v>2</v>
      </c>
      <c r="H2" s="1" t="s">
        <v>506</v>
      </c>
    </row>
    <row r="3" spans="1:8" ht="60" x14ac:dyDescent="0.3">
      <c r="A3" s="1" t="s">
        <v>10</v>
      </c>
      <c r="B3" s="1" t="s">
        <v>110</v>
      </c>
      <c r="C3" s="1" t="s">
        <v>103</v>
      </c>
      <c r="D3" s="1" t="s">
        <v>111</v>
      </c>
      <c r="E3" s="1" t="s">
        <v>112</v>
      </c>
      <c r="F3" s="1" t="s">
        <v>113</v>
      </c>
      <c r="G3" s="1" t="s">
        <v>5</v>
      </c>
      <c r="H3" s="1" t="s">
        <v>505</v>
      </c>
    </row>
    <row r="4" spans="1:8" ht="120" x14ac:dyDescent="0.3">
      <c r="A4" s="1" t="s">
        <v>11</v>
      </c>
      <c r="B4" s="1" t="s">
        <v>114</v>
      </c>
      <c r="C4" s="1" t="s">
        <v>115</v>
      </c>
      <c r="D4" s="1" t="s">
        <v>116</v>
      </c>
      <c r="E4" s="1" t="s">
        <v>117</v>
      </c>
      <c r="F4" s="1" t="s">
        <v>118</v>
      </c>
      <c r="G4" s="1" t="s">
        <v>2</v>
      </c>
      <c r="H4" s="1" t="s">
        <v>507</v>
      </c>
    </row>
    <row r="5" spans="1:8" ht="45" x14ac:dyDescent="0.3">
      <c r="A5" s="1" t="s">
        <v>12</v>
      </c>
      <c r="B5" s="1" t="s">
        <v>119</v>
      </c>
      <c r="C5" s="1" t="s">
        <v>115</v>
      </c>
      <c r="D5" s="1" t="s">
        <v>116</v>
      </c>
      <c r="E5" s="1" t="s">
        <v>117</v>
      </c>
      <c r="F5" s="1" t="s">
        <v>118</v>
      </c>
      <c r="G5" s="1" t="s">
        <v>3</v>
      </c>
      <c r="H5" s="1" t="s">
        <v>120</v>
      </c>
    </row>
    <row r="6" spans="1:8" ht="60" x14ac:dyDescent="0.3">
      <c r="A6" s="1" t="s">
        <v>13</v>
      </c>
      <c r="B6" s="1" t="s">
        <v>121</v>
      </c>
      <c r="C6" s="1" t="s">
        <v>122</v>
      </c>
      <c r="D6" s="1" t="s">
        <v>123</v>
      </c>
      <c r="E6" s="1" t="s">
        <v>124</v>
      </c>
      <c r="F6" s="1" t="s">
        <v>125</v>
      </c>
      <c r="G6" s="1" t="s">
        <v>2</v>
      </c>
      <c r="H6" s="1" t="s">
        <v>126</v>
      </c>
    </row>
    <row r="7" spans="1:8" ht="60" x14ac:dyDescent="0.3">
      <c r="A7" s="1" t="s">
        <v>14</v>
      </c>
      <c r="B7" s="1" t="s">
        <v>127</v>
      </c>
      <c r="C7" s="1" t="s">
        <v>128</v>
      </c>
      <c r="D7" s="1" t="s">
        <v>122</v>
      </c>
      <c r="E7" s="1" t="s">
        <v>129</v>
      </c>
      <c r="F7" s="1" t="s">
        <v>123</v>
      </c>
      <c r="G7" s="1" t="s">
        <v>5</v>
      </c>
      <c r="H7" s="1" t="s">
        <v>130</v>
      </c>
    </row>
    <row r="8" spans="1:8" ht="60" x14ac:dyDescent="0.3">
      <c r="A8" s="1" t="s">
        <v>15</v>
      </c>
      <c r="B8" s="1" t="s">
        <v>131</v>
      </c>
      <c r="C8" s="1" t="s">
        <v>132</v>
      </c>
      <c r="D8" s="1" t="s">
        <v>133</v>
      </c>
      <c r="E8" s="1" t="s">
        <v>134</v>
      </c>
      <c r="F8" s="1" t="s">
        <v>135</v>
      </c>
      <c r="G8" s="1" t="s">
        <v>4</v>
      </c>
      <c r="H8" s="1" t="s">
        <v>136</v>
      </c>
    </row>
    <row r="9" spans="1:8" ht="60" x14ac:dyDescent="0.3">
      <c r="A9" s="1" t="s">
        <v>16</v>
      </c>
      <c r="B9" s="1" t="s">
        <v>137</v>
      </c>
      <c r="C9" s="1" t="s">
        <v>138</v>
      </c>
      <c r="D9" s="1" t="s">
        <v>139</v>
      </c>
      <c r="E9" s="1" t="s">
        <v>101</v>
      </c>
      <c r="F9" s="1" t="s">
        <v>140</v>
      </c>
      <c r="G9" s="1" t="s">
        <v>2</v>
      </c>
      <c r="H9" s="1" t="s">
        <v>141</v>
      </c>
    </row>
    <row r="10" spans="1:8" ht="60" x14ac:dyDescent="0.3">
      <c r="A10" s="1" t="s">
        <v>17</v>
      </c>
      <c r="B10" s="1" t="s">
        <v>142</v>
      </c>
      <c r="C10" s="1" t="s">
        <v>143</v>
      </c>
      <c r="D10" s="1" t="s">
        <v>138</v>
      </c>
      <c r="E10" s="1" t="s">
        <v>101</v>
      </c>
      <c r="F10" s="1" t="s">
        <v>144</v>
      </c>
      <c r="G10" s="1" t="s">
        <v>2</v>
      </c>
      <c r="H10" s="1" t="s">
        <v>145</v>
      </c>
    </row>
    <row r="11" spans="1:8" ht="105" x14ac:dyDescent="0.3">
      <c r="A11" s="1" t="s">
        <v>18</v>
      </c>
      <c r="B11" s="1" t="s">
        <v>146</v>
      </c>
      <c r="C11" s="1" t="s">
        <v>147</v>
      </c>
      <c r="D11" s="1" t="s">
        <v>148</v>
      </c>
      <c r="E11" s="1" t="s">
        <v>149</v>
      </c>
      <c r="F11" s="1" t="s">
        <v>150</v>
      </c>
      <c r="G11" s="1" t="s">
        <v>4</v>
      </c>
      <c r="H11" s="1" t="s">
        <v>528</v>
      </c>
    </row>
    <row r="12" spans="1:8" ht="45" x14ac:dyDescent="0.3">
      <c r="A12" s="1" t="s">
        <v>19</v>
      </c>
      <c r="B12" s="1" t="s">
        <v>151</v>
      </c>
      <c r="C12" s="1" t="s">
        <v>152</v>
      </c>
      <c r="D12" s="1" t="s">
        <v>153</v>
      </c>
      <c r="E12" s="1" t="s">
        <v>154</v>
      </c>
      <c r="F12" s="1" t="s">
        <v>155</v>
      </c>
      <c r="G12" s="1" t="s">
        <v>4</v>
      </c>
      <c r="H12" s="1" t="s">
        <v>156</v>
      </c>
    </row>
    <row r="13" spans="1:8" ht="60" x14ac:dyDescent="0.3">
      <c r="A13" s="1" t="s">
        <v>20</v>
      </c>
      <c r="B13" s="1" t="s">
        <v>157</v>
      </c>
      <c r="C13" s="1" t="s">
        <v>158</v>
      </c>
      <c r="D13" s="1" t="s">
        <v>159</v>
      </c>
      <c r="E13" s="1" t="s">
        <v>160</v>
      </c>
      <c r="F13" s="1" t="s">
        <v>161</v>
      </c>
      <c r="G13" s="1" t="s">
        <v>3</v>
      </c>
      <c r="H13" s="1" t="s">
        <v>162</v>
      </c>
    </row>
    <row r="14" spans="1:8" ht="60" x14ac:dyDescent="0.3">
      <c r="A14" s="1" t="s">
        <v>21</v>
      </c>
      <c r="B14" s="1" t="s">
        <v>163</v>
      </c>
      <c r="C14" s="1" t="s">
        <v>164</v>
      </c>
      <c r="D14" s="1" t="s">
        <v>165</v>
      </c>
      <c r="E14" s="1" t="s">
        <v>166</v>
      </c>
      <c r="F14" s="1" t="s">
        <v>167</v>
      </c>
      <c r="G14" s="1" t="s">
        <v>2</v>
      </c>
      <c r="H14" s="1" t="s">
        <v>168</v>
      </c>
    </row>
    <row r="15" spans="1:8" ht="45" x14ac:dyDescent="0.3">
      <c r="A15" s="1" t="s">
        <v>22</v>
      </c>
      <c r="B15" s="1" t="s">
        <v>169</v>
      </c>
      <c r="C15" s="1" t="s">
        <v>170</v>
      </c>
      <c r="D15" s="1" t="s">
        <v>171</v>
      </c>
      <c r="E15" s="1" t="s">
        <v>172</v>
      </c>
      <c r="F15" s="1" t="s">
        <v>27</v>
      </c>
      <c r="G15" s="1" t="s">
        <v>4</v>
      </c>
      <c r="H15" s="1" t="s">
        <v>173</v>
      </c>
    </row>
    <row r="16" spans="1:8" ht="45" x14ac:dyDescent="0.3">
      <c r="A16" s="1" t="s">
        <v>23</v>
      </c>
      <c r="B16" s="1" t="s">
        <v>174</v>
      </c>
      <c r="C16" s="1" t="s">
        <v>172</v>
      </c>
      <c r="D16" s="1" t="s">
        <v>170</v>
      </c>
      <c r="E16" s="1" t="s">
        <v>175</v>
      </c>
      <c r="F16" s="1" t="s">
        <v>27</v>
      </c>
      <c r="G16" s="1" t="s">
        <v>3</v>
      </c>
      <c r="H16" s="1" t="s">
        <v>176</v>
      </c>
    </row>
    <row r="17" spans="1:8" ht="45" x14ac:dyDescent="0.3">
      <c r="A17" s="1" t="s">
        <v>24</v>
      </c>
      <c r="B17" s="1" t="s">
        <v>177</v>
      </c>
      <c r="C17" s="1" t="s">
        <v>178</v>
      </c>
      <c r="D17" s="1" t="s">
        <v>179</v>
      </c>
      <c r="E17" s="1" t="s">
        <v>180</v>
      </c>
      <c r="F17" s="1" t="s">
        <v>181</v>
      </c>
      <c r="G17" s="1" t="s">
        <v>3</v>
      </c>
      <c r="H17" s="1" t="s">
        <v>182</v>
      </c>
    </row>
    <row r="18" spans="1:8" ht="60" x14ac:dyDescent="0.3">
      <c r="A18" s="1" t="s">
        <v>25</v>
      </c>
      <c r="B18" s="1" t="s">
        <v>183</v>
      </c>
      <c r="C18" s="1" t="s">
        <v>184</v>
      </c>
      <c r="D18" s="1" t="s">
        <v>185</v>
      </c>
      <c r="E18" s="1" t="s">
        <v>186</v>
      </c>
      <c r="F18" s="1" t="s">
        <v>187</v>
      </c>
      <c r="G18" s="1" t="s">
        <v>5</v>
      </c>
      <c r="H18" s="1" t="s">
        <v>508</v>
      </c>
    </row>
    <row r="19" spans="1:8" ht="60" x14ac:dyDescent="0.3">
      <c r="A19" s="1" t="s">
        <v>26</v>
      </c>
      <c r="B19" s="1" t="s">
        <v>188</v>
      </c>
      <c r="C19" s="1" t="s">
        <v>189</v>
      </c>
      <c r="D19" s="1" t="s">
        <v>190</v>
      </c>
      <c r="E19" s="1" t="s">
        <v>191</v>
      </c>
      <c r="F19" s="1" t="s">
        <v>192</v>
      </c>
      <c r="G19" s="1" t="s">
        <v>4</v>
      </c>
      <c r="H19" s="1" t="s">
        <v>509</v>
      </c>
    </row>
    <row r="20" spans="1:8" ht="60" x14ac:dyDescent="0.3">
      <c r="A20" s="1" t="s">
        <v>28</v>
      </c>
      <c r="B20" s="1" t="s">
        <v>193</v>
      </c>
      <c r="C20" s="1" t="s">
        <v>194</v>
      </c>
      <c r="D20" s="1" t="s">
        <v>195</v>
      </c>
      <c r="E20" s="1" t="s">
        <v>196</v>
      </c>
      <c r="F20" s="1" t="s">
        <v>197</v>
      </c>
      <c r="G20" s="1" t="s">
        <v>5</v>
      </c>
      <c r="H20" s="1" t="s">
        <v>198</v>
      </c>
    </row>
    <row r="21" spans="1:8" ht="60" x14ac:dyDescent="0.3">
      <c r="A21" s="1" t="s">
        <v>29</v>
      </c>
      <c r="B21" s="1" t="s">
        <v>199</v>
      </c>
      <c r="C21" s="1" t="s">
        <v>200</v>
      </c>
      <c r="D21" s="1" t="s">
        <v>201</v>
      </c>
      <c r="E21" s="1" t="s">
        <v>202</v>
      </c>
      <c r="F21" s="1" t="s">
        <v>203</v>
      </c>
      <c r="G21" s="1" t="s">
        <v>5</v>
      </c>
      <c r="H21" s="1" t="s">
        <v>204</v>
      </c>
    </row>
    <row r="22" spans="1:8" ht="45" x14ac:dyDescent="0.3">
      <c r="A22" s="1" t="s">
        <v>30</v>
      </c>
      <c r="B22" s="1" t="s">
        <v>205</v>
      </c>
      <c r="C22" s="1" t="s">
        <v>206</v>
      </c>
      <c r="D22" s="1" t="s">
        <v>207</v>
      </c>
      <c r="E22" s="1" t="s">
        <v>208</v>
      </c>
      <c r="F22" s="1" t="s">
        <v>101</v>
      </c>
      <c r="G22" s="1" t="s">
        <v>4</v>
      </c>
      <c r="H22" s="1" t="s">
        <v>209</v>
      </c>
    </row>
    <row r="23" spans="1:8" ht="60" x14ac:dyDescent="0.3">
      <c r="A23" s="1" t="s">
        <v>31</v>
      </c>
      <c r="B23" s="1" t="s">
        <v>210</v>
      </c>
      <c r="C23" s="1" t="s">
        <v>211</v>
      </c>
      <c r="D23" s="1" t="s">
        <v>212</v>
      </c>
      <c r="E23" s="1" t="s">
        <v>213</v>
      </c>
      <c r="F23" s="1" t="s">
        <v>214</v>
      </c>
      <c r="G23" s="1" t="s">
        <v>5</v>
      </c>
      <c r="H23" s="1" t="s">
        <v>215</v>
      </c>
    </row>
    <row r="24" spans="1:8" ht="45" x14ac:dyDescent="0.3">
      <c r="A24" s="1" t="s">
        <v>32</v>
      </c>
      <c r="B24" s="1" t="s">
        <v>216</v>
      </c>
      <c r="C24" s="1" t="s">
        <v>217</v>
      </c>
      <c r="D24" s="1" t="s">
        <v>218</v>
      </c>
      <c r="E24" s="1" t="s">
        <v>219</v>
      </c>
      <c r="F24" s="1" t="s">
        <v>220</v>
      </c>
      <c r="G24" s="1" t="s">
        <v>5</v>
      </c>
      <c r="H24" s="1" t="s">
        <v>221</v>
      </c>
    </row>
    <row r="25" spans="1:8" ht="60" x14ac:dyDescent="0.3">
      <c r="A25" s="1" t="s">
        <v>33</v>
      </c>
      <c r="B25" s="1" t="s">
        <v>222</v>
      </c>
      <c r="C25" s="1" t="s">
        <v>223</v>
      </c>
      <c r="D25" s="1" t="s">
        <v>224</v>
      </c>
      <c r="E25" s="1" t="s">
        <v>225</v>
      </c>
      <c r="F25" s="1" t="s">
        <v>226</v>
      </c>
      <c r="G25" s="1" t="s">
        <v>3</v>
      </c>
      <c r="H25" s="1" t="s">
        <v>227</v>
      </c>
    </row>
    <row r="26" spans="1:8" ht="60" x14ac:dyDescent="0.3">
      <c r="A26" s="1" t="s">
        <v>34</v>
      </c>
      <c r="B26" s="1" t="s">
        <v>228</v>
      </c>
      <c r="C26" s="1" t="s">
        <v>229</v>
      </c>
      <c r="D26" s="1" t="s">
        <v>230</v>
      </c>
      <c r="E26" s="1" t="s">
        <v>231</v>
      </c>
      <c r="F26" s="1" t="s">
        <v>232</v>
      </c>
      <c r="G26" s="1" t="s">
        <v>3</v>
      </c>
      <c r="H26" s="1" t="s">
        <v>233</v>
      </c>
    </row>
    <row r="27" spans="1:8" ht="45" x14ac:dyDescent="0.3">
      <c r="A27" s="1" t="s">
        <v>35</v>
      </c>
      <c r="B27" s="1" t="s">
        <v>234</v>
      </c>
      <c r="C27" s="1" t="s">
        <v>235</v>
      </c>
      <c r="D27" s="1" t="s">
        <v>236</v>
      </c>
      <c r="E27" s="1" t="s">
        <v>237</v>
      </c>
      <c r="F27" s="1" t="s">
        <v>238</v>
      </c>
      <c r="G27" s="1" t="s">
        <v>3</v>
      </c>
      <c r="H27" s="1" t="s">
        <v>239</v>
      </c>
    </row>
    <row r="28" spans="1:8" ht="30" x14ac:dyDescent="0.3">
      <c r="A28" s="1" t="s">
        <v>36</v>
      </c>
      <c r="B28" s="1" t="s">
        <v>240</v>
      </c>
      <c r="C28" s="1" t="s">
        <v>241</v>
      </c>
      <c r="D28" s="1" t="s">
        <v>242</v>
      </c>
      <c r="E28" s="1" t="s">
        <v>243</v>
      </c>
      <c r="F28" s="1" t="s">
        <v>244</v>
      </c>
      <c r="G28" s="1" t="s">
        <v>2</v>
      </c>
      <c r="H28" s="1" t="s">
        <v>510</v>
      </c>
    </row>
    <row r="29" spans="1:8" ht="60" x14ac:dyDescent="0.3">
      <c r="A29" s="1" t="s">
        <v>37</v>
      </c>
      <c r="B29" s="1" t="s">
        <v>245</v>
      </c>
      <c r="C29" s="1" t="s">
        <v>246</v>
      </c>
      <c r="D29" s="1" t="s">
        <v>247</v>
      </c>
      <c r="E29" s="1" t="s">
        <v>248</v>
      </c>
      <c r="F29" s="1" t="s">
        <v>249</v>
      </c>
      <c r="G29" s="1" t="s">
        <v>3</v>
      </c>
      <c r="H29" s="1" t="s">
        <v>250</v>
      </c>
    </row>
    <row r="30" spans="1:8" ht="45" x14ac:dyDescent="0.3">
      <c r="A30" s="1" t="s">
        <v>38</v>
      </c>
      <c r="B30" s="1" t="s">
        <v>251</v>
      </c>
      <c r="C30" s="1" t="s">
        <v>252</v>
      </c>
      <c r="D30" s="1" t="s">
        <v>253</v>
      </c>
      <c r="E30" s="1" t="s">
        <v>254</v>
      </c>
      <c r="F30" s="1" t="s">
        <v>255</v>
      </c>
      <c r="G30" s="1" t="s">
        <v>3</v>
      </c>
      <c r="H30" s="1" t="s">
        <v>256</v>
      </c>
    </row>
    <row r="31" spans="1:8" ht="45" x14ac:dyDescent="0.3">
      <c r="A31" s="1" t="s">
        <v>39</v>
      </c>
      <c r="B31" s="1" t="s">
        <v>257</v>
      </c>
      <c r="C31" s="1" t="s">
        <v>258</v>
      </c>
      <c r="D31" s="1" t="s">
        <v>259</v>
      </c>
      <c r="E31" s="1" t="s">
        <v>260</v>
      </c>
      <c r="F31" s="1" t="s">
        <v>261</v>
      </c>
      <c r="G31" s="1" t="s">
        <v>4</v>
      </c>
      <c r="H31" s="1" t="s">
        <v>262</v>
      </c>
    </row>
    <row r="32" spans="1:8" ht="30" x14ac:dyDescent="0.3">
      <c r="A32" s="1" t="s">
        <v>40</v>
      </c>
      <c r="B32" s="1" t="s">
        <v>263</v>
      </c>
      <c r="C32" s="1" t="s">
        <v>264</v>
      </c>
      <c r="D32" s="1" t="s">
        <v>265</v>
      </c>
      <c r="E32" s="1" t="s">
        <v>266</v>
      </c>
      <c r="F32" s="1" t="s">
        <v>511</v>
      </c>
      <c r="G32" s="1" t="s">
        <v>5</v>
      </c>
      <c r="H32" s="1" t="s">
        <v>267</v>
      </c>
    </row>
    <row r="33" spans="1:8" ht="45" x14ac:dyDescent="0.3">
      <c r="A33" s="1" t="s">
        <v>41</v>
      </c>
      <c r="B33" s="1" t="s">
        <v>268</v>
      </c>
      <c r="C33" s="1" t="s">
        <v>269</v>
      </c>
      <c r="D33" s="1" t="s">
        <v>270</v>
      </c>
      <c r="E33" s="1" t="s">
        <v>111</v>
      </c>
      <c r="F33" s="1" t="s">
        <v>271</v>
      </c>
      <c r="G33" s="1" t="s">
        <v>4</v>
      </c>
      <c r="H33" s="1" t="s">
        <v>272</v>
      </c>
    </row>
    <row r="34" spans="1:8" ht="45" x14ac:dyDescent="0.3">
      <c r="A34" s="1" t="s">
        <v>42</v>
      </c>
      <c r="B34" s="1" t="s">
        <v>273</v>
      </c>
      <c r="C34" s="1" t="s">
        <v>274</v>
      </c>
      <c r="D34" s="1" t="s">
        <v>275</v>
      </c>
      <c r="E34" s="1" t="s">
        <v>276</v>
      </c>
      <c r="F34" s="1" t="s">
        <v>277</v>
      </c>
      <c r="G34" s="1" t="s">
        <v>5</v>
      </c>
      <c r="H34" s="1" t="s">
        <v>278</v>
      </c>
    </row>
    <row r="35" spans="1:8" ht="45" x14ac:dyDescent="0.3">
      <c r="A35" s="1" t="s">
        <v>43</v>
      </c>
      <c r="B35" s="1" t="s">
        <v>279</v>
      </c>
      <c r="C35" s="1" t="s">
        <v>280</v>
      </c>
      <c r="D35" s="1" t="s">
        <v>281</v>
      </c>
      <c r="E35" s="1" t="s">
        <v>282</v>
      </c>
      <c r="F35" s="1" t="s">
        <v>283</v>
      </c>
      <c r="G35" s="1" t="s">
        <v>3</v>
      </c>
      <c r="H35" s="1" t="s">
        <v>284</v>
      </c>
    </row>
    <row r="36" spans="1:8" ht="60" x14ac:dyDescent="0.3">
      <c r="A36" s="1" t="s">
        <v>44</v>
      </c>
      <c r="B36" s="1" t="s">
        <v>285</v>
      </c>
      <c r="C36" s="1" t="s">
        <v>286</v>
      </c>
      <c r="D36" s="1" t="s">
        <v>287</v>
      </c>
      <c r="E36" s="1" t="s">
        <v>288</v>
      </c>
      <c r="F36" s="1" t="s">
        <v>289</v>
      </c>
      <c r="G36" s="1" t="s">
        <v>3</v>
      </c>
      <c r="H36" s="1" t="s">
        <v>512</v>
      </c>
    </row>
    <row r="37" spans="1:8" ht="45" x14ac:dyDescent="0.3">
      <c r="A37" s="1" t="s">
        <v>45</v>
      </c>
      <c r="B37" s="1" t="s">
        <v>290</v>
      </c>
      <c r="C37" s="1" t="s">
        <v>291</v>
      </c>
      <c r="D37" s="1" t="s">
        <v>292</v>
      </c>
      <c r="E37" s="1" t="s">
        <v>293</v>
      </c>
      <c r="F37" s="1" t="s">
        <v>294</v>
      </c>
      <c r="G37" s="1" t="s">
        <v>3</v>
      </c>
      <c r="H37" s="1" t="s">
        <v>295</v>
      </c>
    </row>
    <row r="38" spans="1:8" ht="60" x14ac:dyDescent="0.3">
      <c r="A38" s="1" t="s">
        <v>46</v>
      </c>
      <c r="B38" s="1" t="s">
        <v>296</v>
      </c>
      <c r="C38" s="1" t="s">
        <v>275</v>
      </c>
      <c r="D38" s="1" t="s">
        <v>274</v>
      </c>
      <c r="E38" s="1" t="s">
        <v>297</v>
      </c>
      <c r="F38" s="1" t="s">
        <v>298</v>
      </c>
      <c r="G38" s="1" t="s">
        <v>5</v>
      </c>
      <c r="H38" s="1" t="s">
        <v>299</v>
      </c>
    </row>
    <row r="39" spans="1:8" ht="45" x14ac:dyDescent="0.3">
      <c r="A39" s="1" t="s">
        <v>47</v>
      </c>
      <c r="B39" s="1" t="s">
        <v>300</v>
      </c>
      <c r="C39" s="1" t="s">
        <v>236</v>
      </c>
      <c r="D39" s="1" t="s">
        <v>301</v>
      </c>
      <c r="E39" s="1" t="s">
        <v>302</v>
      </c>
      <c r="F39" s="1" t="s">
        <v>303</v>
      </c>
      <c r="G39" s="1" t="s">
        <v>5</v>
      </c>
      <c r="H39" s="1" t="s">
        <v>304</v>
      </c>
    </row>
    <row r="40" spans="1:8" ht="45" x14ac:dyDescent="0.3">
      <c r="A40" s="1" t="s">
        <v>48</v>
      </c>
      <c r="B40" s="1" t="s">
        <v>305</v>
      </c>
      <c r="C40" s="1" t="s">
        <v>306</v>
      </c>
      <c r="D40" s="1" t="s">
        <v>307</v>
      </c>
      <c r="E40" s="1" t="s">
        <v>308</v>
      </c>
      <c r="F40" s="1" t="s">
        <v>309</v>
      </c>
      <c r="G40" s="1" t="s">
        <v>2</v>
      </c>
      <c r="H40" s="1" t="s">
        <v>310</v>
      </c>
    </row>
    <row r="41" spans="1:8" ht="45" x14ac:dyDescent="0.3">
      <c r="A41" s="1" t="s">
        <v>49</v>
      </c>
      <c r="B41" s="1" t="s">
        <v>311</v>
      </c>
      <c r="C41" s="1" t="s">
        <v>312</v>
      </c>
      <c r="D41" s="1" t="s">
        <v>313</v>
      </c>
      <c r="E41" s="1" t="s">
        <v>314</v>
      </c>
      <c r="F41" s="1" t="s">
        <v>315</v>
      </c>
      <c r="G41" s="1" t="s">
        <v>3</v>
      </c>
      <c r="H41" s="1" t="s">
        <v>316</v>
      </c>
    </row>
    <row r="42" spans="1:8" ht="60" x14ac:dyDescent="0.3">
      <c r="A42" s="1" t="s">
        <v>50</v>
      </c>
      <c r="B42" s="1" t="s">
        <v>317</v>
      </c>
      <c r="C42" s="1" t="s">
        <v>318</v>
      </c>
      <c r="D42" s="1" t="s">
        <v>319</v>
      </c>
      <c r="E42" s="1" t="s">
        <v>320</v>
      </c>
      <c r="F42" s="1" t="s">
        <v>321</v>
      </c>
      <c r="G42" s="1" t="s">
        <v>4</v>
      </c>
      <c r="H42" s="5" t="s">
        <v>322</v>
      </c>
    </row>
    <row r="43" spans="1:8" ht="45" x14ac:dyDescent="0.3">
      <c r="A43" s="1" t="s">
        <v>51</v>
      </c>
      <c r="B43" s="1" t="s">
        <v>323</v>
      </c>
      <c r="C43" s="1" t="s">
        <v>301</v>
      </c>
      <c r="D43" s="1" t="s">
        <v>324</v>
      </c>
      <c r="E43" s="1" t="s">
        <v>325</v>
      </c>
      <c r="F43" s="1" t="s">
        <v>302</v>
      </c>
      <c r="G43" s="1" t="s">
        <v>2</v>
      </c>
      <c r="H43" s="1" t="s">
        <v>326</v>
      </c>
    </row>
    <row r="44" spans="1:8" ht="45" x14ac:dyDescent="0.3">
      <c r="A44" s="1" t="s">
        <v>52</v>
      </c>
      <c r="B44" s="1" t="s">
        <v>327</v>
      </c>
      <c r="C44" s="1" t="s">
        <v>328</v>
      </c>
      <c r="D44" s="1" t="s">
        <v>329</v>
      </c>
      <c r="E44" s="1" t="s">
        <v>330</v>
      </c>
      <c r="F44" s="1" t="s">
        <v>331</v>
      </c>
      <c r="G44" s="1" t="s">
        <v>4</v>
      </c>
      <c r="H44" s="1" t="s">
        <v>332</v>
      </c>
    </row>
    <row r="45" spans="1:8" ht="60" x14ac:dyDescent="0.3">
      <c r="A45" s="1" t="s">
        <v>53</v>
      </c>
      <c r="B45" s="1" t="s">
        <v>333</v>
      </c>
      <c r="C45" s="1" t="s">
        <v>302</v>
      </c>
      <c r="D45" s="1" t="s">
        <v>325</v>
      </c>
      <c r="E45" s="1" t="s">
        <v>324</v>
      </c>
      <c r="F45" s="1" t="s">
        <v>301</v>
      </c>
      <c r="G45" s="1" t="s">
        <v>2</v>
      </c>
      <c r="H45" s="1" t="s">
        <v>334</v>
      </c>
    </row>
    <row r="46" spans="1:8" ht="30" x14ac:dyDescent="0.3">
      <c r="A46" s="1" t="s">
        <v>54</v>
      </c>
      <c r="B46" s="1" t="s">
        <v>335</v>
      </c>
      <c r="C46" s="1" t="s">
        <v>336</v>
      </c>
      <c r="D46" s="1" t="s">
        <v>246</v>
      </c>
      <c r="E46" s="1" t="s">
        <v>337</v>
      </c>
      <c r="F46" s="1" t="s">
        <v>338</v>
      </c>
      <c r="G46" s="1" t="s">
        <v>3</v>
      </c>
      <c r="H46" s="1" t="s">
        <v>339</v>
      </c>
    </row>
    <row r="47" spans="1:8" ht="45" x14ac:dyDescent="0.3">
      <c r="A47" s="1" t="s">
        <v>55</v>
      </c>
      <c r="B47" s="1" t="s">
        <v>340</v>
      </c>
      <c r="C47" s="1" t="s">
        <v>341</v>
      </c>
      <c r="D47" s="1" t="s">
        <v>325</v>
      </c>
      <c r="E47" s="1" t="s">
        <v>301</v>
      </c>
      <c r="F47" s="1" t="s">
        <v>302</v>
      </c>
      <c r="G47" s="1" t="s">
        <v>2</v>
      </c>
      <c r="H47" s="1" t="s">
        <v>342</v>
      </c>
    </row>
    <row r="48" spans="1:8" ht="45" x14ac:dyDescent="0.3">
      <c r="A48" s="1" t="s">
        <v>56</v>
      </c>
      <c r="B48" s="1" t="s">
        <v>343</v>
      </c>
      <c r="C48" s="1" t="s">
        <v>275</v>
      </c>
      <c r="D48" s="1" t="s">
        <v>344</v>
      </c>
      <c r="E48" s="1" t="s">
        <v>274</v>
      </c>
      <c r="F48" s="1" t="s">
        <v>345</v>
      </c>
      <c r="G48" s="1" t="s">
        <v>3</v>
      </c>
      <c r="H48" s="1" t="s">
        <v>346</v>
      </c>
    </row>
    <row r="49" spans="1:8" ht="60" x14ac:dyDescent="0.3">
      <c r="A49" s="1" t="s">
        <v>57</v>
      </c>
      <c r="B49" s="1" t="s">
        <v>347</v>
      </c>
      <c r="C49" s="1" t="s">
        <v>348</v>
      </c>
      <c r="D49" s="1" t="s">
        <v>349</v>
      </c>
      <c r="E49" s="1" t="s">
        <v>350</v>
      </c>
      <c r="F49" s="1" t="s">
        <v>351</v>
      </c>
      <c r="G49" s="1" t="s">
        <v>3</v>
      </c>
      <c r="H49" s="1" t="s">
        <v>352</v>
      </c>
    </row>
    <row r="50" spans="1:8" ht="45" x14ac:dyDescent="0.3">
      <c r="A50" s="1" t="s">
        <v>58</v>
      </c>
      <c r="B50" s="1" t="s">
        <v>353</v>
      </c>
      <c r="C50" s="1" t="s">
        <v>354</v>
      </c>
      <c r="D50" s="1" t="s">
        <v>355</v>
      </c>
      <c r="E50" s="1" t="s">
        <v>356</v>
      </c>
      <c r="F50" s="1" t="s">
        <v>357</v>
      </c>
      <c r="G50" s="1" t="s">
        <v>5</v>
      </c>
      <c r="H50" s="5" t="s">
        <v>358</v>
      </c>
    </row>
    <row r="51" spans="1:8" ht="45" x14ac:dyDescent="0.3">
      <c r="A51" s="1" t="s">
        <v>59</v>
      </c>
      <c r="B51" s="1" t="s">
        <v>359</v>
      </c>
      <c r="C51" s="1" t="s">
        <v>360</v>
      </c>
      <c r="D51" s="1" t="s">
        <v>361</v>
      </c>
      <c r="E51" s="1" t="s">
        <v>362</v>
      </c>
      <c r="F51" s="1" t="s">
        <v>363</v>
      </c>
      <c r="G51" s="1" t="s">
        <v>4</v>
      </c>
      <c r="H51" s="1" t="s">
        <v>364</v>
      </c>
    </row>
    <row r="52" spans="1:8" ht="45" x14ac:dyDescent="0.3">
      <c r="A52" s="1" t="s">
        <v>60</v>
      </c>
      <c r="B52" s="1" t="s">
        <v>365</v>
      </c>
      <c r="C52" s="1" t="s">
        <v>366</v>
      </c>
      <c r="D52" s="1" t="s">
        <v>367</v>
      </c>
      <c r="E52" s="1" t="s">
        <v>368</v>
      </c>
      <c r="F52" s="1" t="s">
        <v>9</v>
      </c>
      <c r="G52" s="1" t="s">
        <v>5</v>
      </c>
      <c r="H52" s="1" t="s">
        <v>369</v>
      </c>
    </row>
    <row r="53" spans="1:8" ht="45" x14ac:dyDescent="0.3">
      <c r="A53" s="1" t="s">
        <v>61</v>
      </c>
      <c r="B53" s="1" t="s">
        <v>370</v>
      </c>
      <c r="C53" s="1" t="s">
        <v>371</v>
      </c>
      <c r="D53" s="1" t="s">
        <v>372</v>
      </c>
      <c r="E53" s="1" t="s">
        <v>373</v>
      </c>
      <c r="F53" s="1" t="s">
        <v>9</v>
      </c>
      <c r="G53" s="1" t="s">
        <v>5</v>
      </c>
      <c r="H53" s="1" t="s">
        <v>374</v>
      </c>
    </row>
    <row r="54" spans="1:8" ht="60" x14ac:dyDescent="0.3">
      <c r="A54" s="1" t="s">
        <v>62</v>
      </c>
      <c r="B54" s="1" t="s">
        <v>375</v>
      </c>
      <c r="C54" s="1" t="s">
        <v>376</v>
      </c>
      <c r="D54" s="1" t="s">
        <v>377</v>
      </c>
      <c r="E54" s="1" t="s">
        <v>378</v>
      </c>
      <c r="F54" s="1" t="s">
        <v>9</v>
      </c>
      <c r="G54" s="1" t="s">
        <v>5</v>
      </c>
      <c r="H54" s="1" t="s">
        <v>514</v>
      </c>
    </row>
    <row r="55" spans="1:8" ht="60" x14ac:dyDescent="0.3">
      <c r="A55" s="1" t="s">
        <v>63</v>
      </c>
      <c r="B55" s="1" t="s">
        <v>379</v>
      </c>
      <c r="C55" s="1" t="s">
        <v>380</v>
      </c>
      <c r="D55" s="1" t="s">
        <v>381</v>
      </c>
      <c r="E55" s="1" t="s">
        <v>382</v>
      </c>
      <c r="F55" s="1" t="s">
        <v>9</v>
      </c>
      <c r="G55" s="1" t="s">
        <v>5</v>
      </c>
      <c r="H55" s="1" t="s">
        <v>513</v>
      </c>
    </row>
    <row r="56" spans="1:8" ht="60" x14ac:dyDescent="0.3">
      <c r="A56" s="1" t="s">
        <v>64</v>
      </c>
      <c r="B56" s="1" t="s">
        <v>383</v>
      </c>
      <c r="C56" s="1" t="s">
        <v>384</v>
      </c>
      <c r="D56" s="1" t="s">
        <v>385</v>
      </c>
      <c r="E56" s="1" t="s">
        <v>386</v>
      </c>
      <c r="F56" s="1" t="s">
        <v>9</v>
      </c>
      <c r="G56" s="1" t="s">
        <v>5</v>
      </c>
      <c r="H56" s="1" t="s">
        <v>515</v>
      </c>
    </row>
    <row r="57" spans="1:8" ht="60" x14ac:dyDescent="0.3">
      <c r="A57" s="1" t="s">
        <v>65</v>
      </c>
      <c r="B57" s="1" t="s">
        <v>387</v>
      </c>
      <c r="C57" s="1" t="s">
        <v>388</v>
      </c>
      <c r="D57" s="1" t="s">
        <v>389</v>
      </c>
      <c r="E57" s="1" t="s">
        <v>390</v>
      </c>
      <c r="F57" s="1" t="s">
        <v>9</v>
      </c>
      <c r="G57" s="1" t="s">
        <v>5</v>
      </c>
      <c r="H57" s="1" t="s">
        <v>516</v>
      </c>
    </row>
    <row r="58" spans="1:8" ht="30" x14ac:dyDescent="0.3">
      <c r="A58" s="1" t="s">
        <v>66</v>
      </c>
      <c r="B58" s="1" t="s">
        <v>391</v>
      </c>
      <c r="C58" s="1" t="s">
        <v>392</v>
      </c>
      <c r="D58" s="1" t="s">
        <v>393</v>
      </c>
      <c r="E58" s="1" t="s">
        <v>394</v>
      </c>
      <c r="F58" s="1" t="s">
        <v>395</v>
      </c>
      <c r="G58" s="1" t="s">
        <v>3</v>
      </c>
      <c r="H58" s="1" t="s">
        <v>396</v>
      </c>
    </row>
    <row r="59" spans="1:8" ht="45" x14ac:dyDescent="0.3">
      <c r="A59" s="1" t="s">
        <v>67</v>
      </c>
      <c r="B59" s="1" t="s">
        <v>397</v>
      </c>
      <c r="C59" s="1" t="s">
        <v>398</v>
      </c>
      <c r="D59" s="1" t="s">
        <v>399</v>
      </c>
      <c r="E59" s="1" t="s">
        <v>400</v>
      </c>
      <c r="F59" s="1" t="s">
        <v>401</v>
      </c>
      <c r="G59" s="1" t="s">
        <v>4</v>
      </c>
      <c r="H59" s="1" t="s">
        <v>402</v>
      </c>
    </row>
    <row r="60" spans="1:8" ht="45" x14ac:dyDescent="0.3">
      <c r="A60" s="1" t="s">
        <v>68</v>
      </c>
      <c r="B60" s="1" t="s">
        <v>403</v>
      </c>
      <c r="C60" s="1" t="s">
        <v>111</v>
      </c>
      <c r="D60" s="1" t="s">
        <v>112</v>
      </c>
      <c r="E60" s="1" t="s">
        <v>404</v>
      </c>
      <c r="F60" s="1" t="s">
        <v>9</v>
      </c>
      <c r="G60" s="1" t="s">
        <v>5</v>
      </c>
      <c r="H60" s="1" t="s">
        <v>405</v>
      </c>
    </row>
    <row r="61" spans="1:8" ht="45" x14ac:dyDescent="0.3">
      <c r="A61" s="1" t="s">
        <v>69</v>
      </c>
      <c r="B61" s="1" t="s">
        <v>406</v>
      </c>
      <c r="C61" s="1" t="s">
        <v>407</v>
      </c>
      <c r="D61" s="1" t="s">
        <v>408</v>
      </c>
      <c r="E61" s="1" t="s">
        <v>409</v>
      </c>
      <c r="F61" s="1" t="s">
        <v>410</v>
      </c>
      <c r="G61" s="1" t="s">
        <v>4</v>
      </c>
      <c r="H61" s="1" t="s">
        <v>411</v>
      </c>
    </row>
    <row r="62" spans="1:8" ht="45" x14ac:dyDescent="0.3">
      <c r="A62" s="1" t="s">
        <v>70</v>
      </c>
      <c r="B62" s="1" t="s">
        <v>412</v>
      </c>
      <c r="C62" s="1" t="s">
        <v>408</v>
      </c>
      <c r="D62" s="1" t="s">
        <v>407</v>
      </c>
      <c r="E62" s="1" t="s">
        <v>409</v>
      </c>
      <c r="F62" s="1" t="s">
        <v>410</v>
      </c>
      <c r="G62" s="1" t="s">
        <v>3</v>
      </c>
      <c r="H62" s="1" t="s">
        <v>413</v>
      </c>
    </row>
    <row r="63" spans="1:8" ht="45" x14ac:dyDescent="0.3">
      <c r="A63" s="1" t="s">
        <v>71</v>
      </c>
      <c r="B63" s="1" t="s">
        <v>414</v>
      </c>
      <c r="C63" s="1" t="s">
        <v>111</v>
      </c>
      <c r="D63" s="1" t="s">
        <v>112</v>
      </c>
      <c r="E63" s="1" t="s">
        <v>415</v>
      </c>
      <c r="F63" s="1" t="s">
        <v>9</v>
      </c>
      <c r="G63" s="1" t="s">
        <v>5</v>
      </c>
      <c r="H63" s="1" t="s">
        <v>416</v>
      </c>
    </row>
    <row r="64" spans="1:8" ht="45" x14ac:dyDescent="0.3">
      <c r="A64" s="1" t="s">
        <v>72</v>
      </c>
      <c r="B64" s="1" t="s">
        <v>417</v>
      </c>
      <c r="C64" s="1" t="s">
        <v>418</v>
      </c>
      <c r="D64" s="1" t="s">
        <v>419</v>
      </c>
      <c r="E64" s="1" t="s">
        <v>420</v>
      </c>
      <c r="F64" s="1" t="s">
        <v>27</v>
      </c>
      <c r="G64" s="1" t="s">
        <v>4</v>
      </c>
      <c r="H64" s="1" t="s">
        <v>421</v>
      </c>
    </row>
    <row r="65" spans="1:8" ht="45" x14ac:dyDescent="0.3">
      <c r="A65" s="1" t="s">
        <v>73</v>
      </c>
      <c r="B65" s="1" t="s">
        <v>422</v>
      </c>
      <c r="C65" s="1" t="s">
        <v>419</v>
      </c>
      <c r="D65" s="1" t="s">
        <v>418</v>
      </c>
      <c r="E65" s="1" t="s">
        <v>420</v>
      </c>
      <c r="F65" s="1" t="s">
        <v>27</v>
      </c>
      <c r="G65" s="1" t="s">
        <v>3</v>
      </c>
      <c r="H65" s="1" t="s">
        <v>423</v>
      </c>
    </row>
    <row r="66" spans="1:8" ht="60" x14ac:dyDescent="0.3">
      <c r="A66" s="1" t="s">
        <v>74</v>
      </c>
      <c r="B66" s="1" t="s">
        <v>424</v>
      </c>
      <c r="C66" s="1" t="s">
        <v>425</v>
      </c>
      <c r="D66" s="1" t="s">
        <v>426</v>
      </c>
      <c r="E66" s="1" t="s">
        <v>100</v>
      </c>
      <c r="F66" s="1" t="s">
        <v>9</v>
      </c>
      <c r="G66" s="1" t="s">
        <v>5</v>
      </c>
      <c r="H66" s="1" t="s">
        <v>427</v>
      </c>
    </row>
    <row r="67" spans="1:8" ht="45" x14ac:dyDescent="0.3">
      <c r="A67" s="1" t="s">
        <v>75</v>
      </c>
      <c r="B67" s="1" t="s">
        <v>428</v>
      </c>
      <c r="C67" s="1" t="s">
        <v>429</v>
      </c>
      <c r="D67" s="1" t="s">
        <v>430</v>
      </c>
      <c r="E67" s="1" t="s">
        <v>431</v>
      </c>
      <c r="F67" s="1" t="s">
        <v>9</v>
      </c>
      <c r="G67" s="1" t="s">
        <v>5</v>
      </c>
      <c r="H67" s="1" t="s">
        <v>432</v>
      </c>
    </row>
    <row r="68" spans="1:8" ht="60" x14ac:dyDescent="0.3">
      <c r="A68" s="1" t="s">
        <v>76</v>
      </c>
      <c r="B68" s="1" t="s">
        <v>433</v>
      </c>
      <c r="C68" s="1" t="s">
        <v>434</v>
      </c>
      <c r="D68" s="1" t="s">
        <v>435</v>
      </c>
      <c r="E68" s="1" t="s">
        <v>436</v>
      </c>
      <c r="F68" s="1" t="s">
        <v>437</v>
      </c>
      <c r="G68" s="1" t="s">
        <v>2</v>
      </c>
      <c r="H68" s="1" t="s">
        <v>438</v>
      </c>
    </row>
    <row r="69" spans="1:8" ht="60" x14ac:dyDescent="0.3">
      <c r="A69" s="1" t="s">
        <v>77</v>
      </c>
      <c r="B69" s="1" t="s">
        <v>439</v>
      </c>
      <c r="C69" s="1" t="s">
        <v>440</v>
      </c>
      <c r="D69" s="1" t="s">
        <v>441</v>
      </c>
      <c r="E69" s="1" t="s">
        <v>442</v>
      </c>
      <c r="F69" s="1" t="s">
        <v>443</v>
      </c>
      <c r="G69" s="1" t="s">
        <v>4</v>
      </c>
      <c r="H69" s="1" t="s">
        <v>444</v>
      </c>
    </row>
    <row r="70" spans="1:8" ht="45" x14ac:dyDescent="0.3">
      <c r="A70" s="1" t="s">
        <v>78</v>
      </c>
      <c r="B70" s="1" t="s">
        <v>445</v>
      </c>
      <c r="C70" s="1" t="s">
        <v>446</v>
      </c>
      <c r="D70" s="1" t="s">
        <v>447</v>
      </c>
      <c r="E70" s="1" t="s">
        <v>448</v>
      </c>
      <c r="F70" s="1" t="s">
        <v>9</v>
      </c>
      <c r="G70" s="1" t="s">
        <v>5</v>
      </c>
      <c r="H70" s="1" t="s">
        <v>449</v>
      </c>
    </row>
    <row r="71" spans="1:8" ht="45" x14ac:dyDescent="0.3">
      <c r="A71" s="1" t="s">
        <v>79</v>
      </c>
      <c r="B71" s="1" t="s">
        <v>450</v>
      </c>
      <c r="C71" s="1" t="s">
        <v>451</v>
      </c>
      <c r="D71" s="1" t="s">
        <v>452</v>
      </c>
      <c r="E71" s="1" t="s">
        <v>453</v>
      </c>
      <c r="F71" s="1" t="s">
        <v>9</v>
      </c>
      <c r="G71" s="1" t="s">
        <v>5</v>
      </c>
      <c r="H71" s="1" t="s">
        <v>454</v>
      </c>
    </row>
    <row r="72" spans="1:8" ht="45" x14ac:dyDescent="0.3">
      <c r="A72" s="1" t="s">
        <v>80</v>
      </c>
      <c r="B72" s="1" t="s">
        <v>455</v>
      </c>
      <c r="C72" s="1" t="s">
        <v>456</v>
      </c>
      <c r="D72" s="1" t="s">
        <v>457</v>
      </c>
      <c r="E72" s="1" t="s">
        <v>458</v>
      </c>
      <c r="F72" s="1" t="s">
        <v>459</v>
      </c>
      <c r="G72" s="1" t="s">
        <v>3</v>
      </c>
      <c r="H72" s="1" t="s">
        <v>527</v>
      </c>
    </row>
    <row r="73" spans="1:8" ht="60" x14ac:dyDescent="0.3">
      <c r="A73" s="1" t="s">
        <v>81</v>
      </c>
      <c r="B73" s="1" t="s">
        <v>460</v>
      </c>
      <c r="C73" s="1" t="s">
        <v>461</v>
      </c>
      <c r="D73" s="1" t="s">
        <v>462</v>
      </c>
      <c r="E73" s="1" t="s">
        <v>463</v>
      </c>
      <c r="F73" s="1" t="s">
        <v>9</v>
      </c>
      <c r="G73" s="1" t="s">
        <v>5</v>
      </c>
      <c r="H73" s="1" t="s">
        <v>464</v>
      </c>
    </row>
    <row r="74" spans="1:8" ht="60" x14ac:dyDescent="0.3">
      <c r="A74" s="1" t="s">
        <v>82</v>
      </c>
      <c r="B74" s="1" t="s">
        <v>465</v>
      </c>
      <c r="C74" s="1" t="s">
        <v>466</v>
      </c>
      <c r="D74" s="1" t="s">
        <v>467</v>
      </c>
      <c r="E74" s="1" t="s">
        <v>468</v>
      </c>
      <c r="F74" s="1" t="s">
        <v>469</v>
      </c>
      <c r="G74" s="1" t="s">
        <v>2</v>
      </c>
      <c r="H74" s="1" t="s">
        <v>526</v>
      </c>
    </row>
    <row r="75" spans="1:8" ht="60" x14ac:dyDescent="0.3">
      <c r="A75" s="1" t="s">
        <v>83</v>
      </c>
      <c r="B75" s="1" t="s">
        <v>470</v>
      </c>
      <c r="C75" s="1" t="s">
        <v>471</v>
      </c>
      <c r="D75" s="1" t="s">
        <v>472</v>
      </c>
      <c r="E75" s="1" t="s">
        <v>473</v>
      </c>
      <c r="F75" s="1" t="s">
        <v>474</v>
      </c>
      <c r="G75" s="1" t="s">
        <v>2</v>
      </c>
      <c r="H75" s="1" t="s">
        <v>475</v>
      </c>
    </row>
    <row r="76" spans="1:8" ht="45" x14ac:dyDescent="0.3">
      <c r="A76" s="1" t="s">
        <v>84</v>
      </c>
      <c r="B76" s="1" t="s">
        <v>476</v>
      </c>
      <c r="C76" s="1" t="s">
        <v>477</v>
      </c>
      <c r="D76" s="1" t="s">
        <v>478</v>
      </c>
      <c r="E76" s="1" t="s">
        <v>479</v>
      </c>
      <c r="F76" s="1" t="s">
        <v>480</v>
      </c>
      <c r="G76" s="1" t="s">
        <v>2</v>
      </c>
      <c r="H76" s="1" t="s">
        <v>525</v>
      </c>
    </row>
    <row r="77" spans="1:8" ht="45" x14ac:dyDescent="0.3">
      <c r="A77" s="1" t="s">
        <v>85</v>
      </c>
      <c r="B77" s="1" t="s">
        <v>481</v>
      </c>
      <c r="C77" s="1" t="s">
        <v>482</v>
      </c>
      <c r="D77" s="1" t="s">
        <v>483</v>
      </c>
      <c r="E77" s="1" t="s">
        <v>484</v>
      </c>
      <c r="F77" s="1" t="s">
        <v>485</v>
      </c>
      <c r="G77" s="1" t="s">
        <v>2</v>
      </c>
      <c r="H77" s="1" t="s">
        <v>486</v>
      </c>
    </row>
    <row r="78" spans="1:8" ht="60" x14ac:dyDescent="0.3">
      <c r="A78" s="1" t="s">
        <v>86</v>
      </c>
      <c r="B78" s="1" t="s">
        <v>487</v>
      </c>
      <c r="C78" s="1" t="s">
        <v>488</v>
      </c>
      <c r="D78" s="1" t="s">
        <v>489</v>
      </c>
      <c r="E78" s="1" t="s">
        <v>490</v>
      </c>
      <c r="F78" s="1" t="s">
        <v>491</v>
      </c>
      <c r="G78" s="1" t="s">
        <v>2</v>
      </c>
      <c r="H78" s="1" t="s">
        <v>520</v>
      </c>
    </row>
    <row r="79" spans="1:8" ht="60" x14ac:dyDescent="0.3">
      <c r="A79" s="1" t="s">
        <v>87</v>
      </c>
      <c r="B79" s="1" t="s">
        <v>492</v>
      </c>
      <c r="C79" s="1" t="s">
        <v>488</v>
      </c>
      <c r="D79" s="1" t="s">
        <v>489</v>
      </c>
      <c r="E79" s="1" t="s">
        <v>490</v>
      </c>
      <c r="F79" s="1" t="s">
        <v>491</v>
      </c>
      <c r="G79" s="1" t="s">
        <v>3</v>
      </c>
      <c r="H79" s="1" t="s">
        <v>521</v>
      </c>
    </row>
    <row r="80" spans="1:8" ht="60" x14ac:dyDescent="0.3">
      <c r="A80" s="1" t="s">
        <v>88</v>
      </c>
      <c r="B80" s="1" t="s">
        <v>493</v>
      </c>
      <c r="C80" s="1" t="s">
        <v>488</v>
      </c>
      <c r="D80" s="1" t="s">
        <v>489</v>
      </c>
      <c r="E80" s="1" t="s">
        <v>490</v>
      </c>
      <c r="F80" s="1" t="s">
        <v>491</v>
      </c>
      <c r="G80" s="1" t="s">
        <v>4</v>
      </c>
      <c r="H80" s="1" t="s">
        <v>522</v>
      </c>
    </row>
    <row r="81" spans="1:8" ht="60" x14ac:dyDescent="0.3">
      <c r="A81" s="1" t="s">
        <v>89</v>
      </c>
      <c r="B81" s="1" t="s">
        <v>494</v>
      </c>
      <c r="C81" s="1" t="s">
        <v>488</v>
      </c>
      <c r="D81" s="1" t="s">
        <v>489</v>
      </c>
      <c r="E81" s="1" t="s">
        <v>490</v>
      </c>
      <c r="F81" s="1" t="s">
        <v>491</v>
      </c>
      <c r="G81" s="1" t="s">
        <v>5</v>
      </c>
      <c r="H81" s="1" t="s">
        <v>523</v>
      </c>
    </row>
    <row r="82" spans="1:8" ht="45" x14ac:dyDescent="0.3">
      <c r="A82" s="1" t="s">
        <v>90</v>
      </c>
      <c r="B82" s="1" t="s">
        <v>495</v>
      </c>
      <c r="C82" s="1" t="s">
        <v>496</v>
      </c>
      <c r="D82" s="1" t="s">
        <v>497</v>
      </c>
      <c r="E82" s="1" t="s">
        <v>498</v>
      </c>
      <c r="F82" s="1" t="s">
        <v>499</v>
      </c>
      <c r="G82" s="1" t="s">
        <v>4</v>
      </c>
      <c r="H82" s="1" t="s">
        <v>524</v>
      </c>
    </row>
    <row r="83" spans="1:8" ht="60" x14ac:dyDescent="0.3">
      <c r="A83" s="1" t="s">
        <v>91</v>
      </c>
      <c r="B83" s="1" t="s">
        <v>500</v>
      </c>
      <c r="C83" s="1" t="s">
        <v>501</v>
      </c>
      <c r="D83" s="1" t="s">
        <v>502</v>
      </c>
      <c r="E83" s="1" t="s">
        <v>503</v>
      </c>
      <c r="F83" s="1" t="s">
        <v>9</v>
      </c>
      <c r="G83" s="1" t="s">
        <v>5</v>
      </c>
      <c r="H83" s="1" t="s">
        <v>504</v>
      </c>
    </row>
  </sheetData>
  <autoFilter ref="A1:H92"/>
  <phoneticPr fontId="1" type="noConversion"/>
  <pageMargins left="0.75" right="0.75" top="1" bottom="1" header="0.5" footer="0.5"/>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537"/>
  <sheetViews>
    <sheetView workbookViewId="0">
      <selection activeCell="C1" sqref="C1:C1048576"/>
    </sheetView>
  </sheetViews>
  <sheetFormatPr defaultColWidth="9" defaultRowHeight="15" x14ac:dyDescent="0.3"/>
  <cols>
    <col min="1" max="1" width="4.25" style="6" customWidth="1"/>
    <col min="2" max="3" width="47.625" style="6" customWidth="1"/>
    <col min="4" max="7" width="12.75" style="6" customWidth="1"/>
    <col min="8" max="8" width="6.125" style="6" customWidth="1"/>
    <col min="9" max="9" width="80" style="6" customWidth="1"/>
    <col min="10" max="16384" width="9" style="6"/>
  </cols>
  <sheetData>
    <row r="1" spans="1:9" ht="30" x14ac:dyDescent="0.3">
      <c r="A1" s="5" t="s">
        <v>0</v>
      </c>
      <c r="B1" s="5" t="s">
        <v>1</v>
      </c>
      <c r="C1" s="5" t="s">
        <v>517</v>
      </c>
      <c r="D1" s="5" t="s">
        <v>2</v>
      </c>
      <c r="E1" s="5" t="s">
        <v>3</v>
      </c>
      <c r="F1" s="5" t="s">
        <v>4</v>
      </c>
      <c r="G1" s="5" t="s">
        <v>5</v>
      </c>
      <c r="H1" s="5" t="s">
        <v>6</v>
      </c>
      <c r="I1" s="5" t="s">
        <v>7</v>
      </c>
    </row>
    <row r="2" spans="1:9" x14ac:dyDescent="0.3">
      <c r="A2" s="5"/>
      <c r="B2" s="5"/>
      <c r="C2" s="5" t="s">
        <v>519</v>
      </c>
      <c r="D2" s="5"/>
      <c r="E2" s="5"/>
      <c r="F2" s="5"/>
      <c r="G2" s="5"/>
      <c r="H2" s="5"/>
      <c r="I2" s="5"/>
    </row>
    <row r="3" spans="1:9" x14ac:dyDescent="0.3">
      <c r="A3" s="5"/>
      <c r="B3" s="5"/>
      <c r="C3" s="5" t="s">
        <v>518</v>
      </c>
      <c r="D3" s="5"/>
      <c r="E3" s="5"/>
      <c r="F3" s="5"/>
      <c r="G3" s="5"/>
      <c r="H3" s="5"/>
      <c r="I3" s="5"/>
    </row>
    <row r="4" spans="1:9" ht="5.4" customHeight="1" x14ac:dyDescent="0.3">
      <c r="A4" s="5"/>
      <c r="B4" s="5"/>
      <c r="C4" s="5"/>
      <c r="D4" s="5"/>
      <c r="E4" s="5"/>
      <c r="F4" s="5"/>
      <c r="G4" s="5"/>
      <c r="H4" s="5"/>
      <c r="I4" s="5"/>
    </row>
    <row r="5" spans="1:9" s="3" customFormat="1" ht="105" x14ac:dyDescent="0.3">
      <c r="A5" s="4" t="str">
        <f>dB題庫!A2</f>
        <v>1</v>
      </c>
      <c r="B5" s="4" t="str">
        <f>dB題庫!B2</f>
        <v>當空氣密度增加時，對飛機升力的影響為何者</v>
      </c>
      <c r="C5" s="4" t="str">
        <f>A5&amp;"."&amp;B5</f>
        <v>1.當空氣密度增加時，對飛機升力的影響為何者</v>
      </c>
      <c r="D5" s="4" t="str">
        <f>dB題庫!C2</f>
        <v>升力增加。</v>
      </c>
      <c r="E5" s="4" t="str">
        <f>dB題庫!D2</f>
        <v>升力降低。</v>
      </c>
      <c r="F5" s="4" t="str">
        <f>dB題庫!E2</f>
        <v>升力不變。</v>
      </c>
      <c r="G5" s="4" t="str">
        <f>dB題庫!F2</f>
        <v>升力有時增加有時降低。</v>
      </c>
      <c r="H5" s="4" t="str">
        <f>dB題庫!G2</f>
        <v>A</v>
      </c>
      <c r="I5" s="4" t="str">
        <f>dB題庫!H2</f>
        <v>根據空氣動力學升力公式 L = 1/2‧rho‧V 平方‧S‧C_l，升力與空氣密度 (rho) 成正比。當空氣密度增加時，氣流產生的動壓隨之增大，使得機翼上下表面的壓力差(即升力)增加。這也是為何飛機在低海拔、低溫(空氣密度大)的環境中起飛性能較佳的原因。
當空氣密度增加時，飛機的升力會增加。這是因為升力與空氣密度成正比。根據空氣動力學的升力方程式 L = 1/2‧rho‧V 平方‧S‧C_l，當空氣密度（rho）上升時，機翼所能產生的氣動升力也會隨之提升。</v>
      </c>
    </row>
    <row r="6" spans="1:9" s="3" customFormat="1" x14ac:dyDescent="0.3">
      <c r="A6" s="2"/>
      <c r="B6" s="1"/>
      <c r="C6" s="7" t="str">
        <f>"(A.)"&amp;D5</f>
        <v>(A.)升力增加。</v>
      </c>
      <c r="D6" s="2"/>
      <c r="E6" s="2"/>
      <c r="F6" s="2"/>
      <c r="G6" s="2"/>
      <c r="H6" s="2"/>
      <c r="I6" s="2"/>
    </row>
    <row r="7" spans="1:9" s="3" customFormat="1" x14ac:dyDescent="0.3">
      <c r="A7" s="2"/>
      <c r="B7" s="1"/>
      <c r="C7" s="7" t="str">
        <f>"(B.)"&amp;E5</f>
        <v>(B.)升力降低。</v>
      </c>
      <c r="D7" s="2"/>
      <c r="E7" s="2"/>
      <c r="F7" s="2"/>
      <c r="G7" s="2"/>
      <c r="H7" s="2"/>
      <c r="I7" s="2"/>
    </row>
    <row r="8" spans="1:9" s="3" customFormat="1" x14ac:dyDescent="0.3">
      <c r="A8" s="2"/>
      <c r="B8" s="2"/>
      <c r="C8" s="7" t="str">
        <f>"(C.)"&amp;F5</f>
        <v>(C.)升力不變。</v>
      </c>
      <c r="D8" s="2"/>
      <c r="E8" s="2"/>
      <c r="F8" s="2"/>
      <c r="G8" s="2"/>
      <c r="H8" s="2"/>
      <c r="I8" s="2"/>
    </row>
    <row r="9" spans="1:9" s="3" customFormat="1" x14ac:dyDescent="0.3">
      <c r="A9" s="2"/>
      <c r="B9" s="2"/>
      <c r="C9" s="7" t="str">
        <f>"(D.)"&amp;G5</f>
        <v>(D.)升力有時增加有時降低。</v>
      </c>
      <c r="D9" s="2"/>
      <c r="E9" s="2"/>
      <c r="F9" s="2"/>
      <c r="G9" s="2"/>
      <c r="H9" s="2"/>
      <c r="I9" s="2"/>
    </row>
    <row r="10" spans="1:9" s="3" customFormat="1" x14ac:dyDescent="0.3">
      <c r="A10" s="2"/>
      <c r="B10" s="2"/>
      <c r="C10" s="7" t="str">
        <f>"答案是： "&amp;IF(H5="A",C6,IF(H5="B",C7,IF(H5="C",C8,IF(H5=("D"),C9,"XXXX"))))</f>
        <v>答案是： (A.)升力增加。</v>
      </c>
      <c r="D10" s="2"/>
      <c r="E10" s="2"/>
      <c r="F10" s="2"/>
      <c r="G10" s="2"/>
      <c r="H10" s="2"/>
      <c r="I10" s="2"/>
    </row>
    <row r="11" spans="1:9" s="3" customFormat="1" ht="165" x14ac:dyDescent="0.3">
      <c r="A11" s="2"/>
      <c r="B11" s="2"/>
      <c r="C11" s="7" t="str">
        <f>"說明："&amp;I5</f>
        <v>說明：根據空氣動力學升力公式 L = 1/2‧rho‧V 平方‧S‧C_l，升力與空氣密度 (rho) 成正比。當空氣密度增加時，氣流產生的動壓隨之增大，使得機翼上下表面的壓力差(即升力)增加。這也是為何飛機在低海拔、低溫(空氣密度大)的環境中起飛性能較佳的原因。
當空氣密度增加時，飛機的升力會增加。這是因為升力與空氣密度成正比。根據空氣動力學的升力方程式 L = 1/2‧rho‧V 平方‧S‧C_l，當空氣密度（rho）上升時，機翼所能產生的氣動升力也會隨之提升。</v>
      </c>
      <c r="D11" s="2"/>
      <c r="E11" s="2"/>
      <c r="F11" s="2"/>
      <c r="G11" s="2"/>
      <c r="H11" s="2"/>
      <c r="I11" s="2"/>
    </row>
    <row r="12" spans="1:9" s="3" customFormat="1" ht="60" x14ac:dyDescent="0.3">
      <c r="A12" s="4" t="str">
        <f>dB題庫!A3</f>
        <v>2</v>
      </c>
      <c r="B12" s="4" t="str">
        <f>dB題庫!B3</f>
        <v>下列何者非影響空氣密度之因素</v>
      </c>
      <c r="C12" s="4" t="str">
        <f>A12&amp;"."&amp;B12</f>
        <v>2.下列何者非影響空氣密度之因素</v>
      </c>
      <c r="D12" s="4" t="str">
        <f>dB題庫!C3</f>
        <v>高度。</v>
      </c>
      <c r="E12" s="4" t="str">
        <f>dB題庫!D3</f>
        <v>溫度。</v>
      </c>
      <c r="F12" s="4" t="str">
        <f>dB題庫!E3</f>
        <v>濕度。</v>
      </c>
      <c r="G12" s="4" t="str">
        <f>dB題庫!F3</f>
        <v>應力。</v>
      </c>
      <c r="H12" s="4" t="str">
        <f>dB題庫!G3</f>
        <v>D</v>
      </c>
      <c r="I12" s="4" t="str">
        <f>dB題庫!H3</f>
        <v>影響空氣密度的三大核心氣象因素為：高度(高度越高，氣壓越低，氣體分子越少，密度越小)、溫度(溫度越高，分子間距變大，密度越小)及濕度(水蒸氣分子比氮氣與氧氣輕，濕度越高則空氣越輕，密度越小)。而『應力』屬於固體力學範疇，並非改變大氣密度的氣象因子。</v>
      </c>
    </row>
    <row r="13" spans="1:9" s="3" customFormat="1" x14ac:dyDescent="0.3">
      <c r="A13" s="2"/>
      <c r="B13" s="1"/>
      <c r="C13" s="7" t="str">
        <f>"(A.)"&amp;D12</f>
        <v>(A.)高度。</v>
      </c>
      <c r="D13" s="2"/>
      <c r="E13" s="2"/>
      <c r="F13" s="2"/>
      <c r="G13" s="2"/>
      <c r="H13" s="2"/>
      <c r="I13" s="2"/>
    </row>
    <row r="14" spans="1:9" s="3" customFormat="1" x14ac:dyDescent="0.3">
      <c r="A14" s="2"/>
      <c r="B14" s="1"/>
      <c r="C14" s="7" t="str">
        <f>"(B.)"&amp;E12</f>
        <v>(B.)溫度。</v>
      </c>
      <c r="D14" s="2"/>
      <c r="E14" s="2"/>
      <c r="F14" s="2"/>
      <c r="G14" s="2"/>
      <c r="H14" s="2"/>
      <c r="I14" s="2"/>
    </row>
    <row r="15" spans="1:9" s="3" customFormat="1" x14ac:dyDescent="0.3">
      <c r="A15" s="2"/>
      <c r="B15" s="2"/>
      <c r="C15" s="7" t="str">
        <f>"(C.)"&amp;F12</f>
        <v>(C.)濕度。</v>
      </c>
      <c r="D15" s="2"/>
      <c r="E15" s="2"/>
      <c r="F15" s="2"/>
      <c r="G15" s="2"/>
      <c r="H15" s="2"/>
      <c r="I15" s="2"/>
    </row>
    <row r="16" spans="1:9" s="3" customFormat="1" x14ac:dyDescent="0.3">
      <c r="A16" s="2"/>
      <c r="B16" s="2"/>
      <c r="C16" s="7" t="str">
        <f>"(D.)"&amp;G12</f>
        <v>(D.)應力。</v>
      </c>
      <c r="D16" s="2"/>
      <c r="E16" s="2"/>
      <c r="F16" s="2"/>
      <c r="G16" s="2"/>
      <c r="H16" s="2"/>
      <c r="I16" s="2"/>
    </row>
    <row r="17" spans="1:9" s="3" customFormat="1" x14ac:dyDescent="0.3">
      <c r="A17" s="2"/>
      <c r="B17" s="2"/>
      <c r="C17" s="7" t="str">
        <f>"答案是： "&amp;IF(H12="A",C13,IF(H12="B",C14,IF(H12="C",C15,IF(H12=("D"),C16,"XXXX"))))</f>
        <v>答案是： (D.)應力。</v>
      </c>
      <c r="D17" s="2"/>
      <c r="E17" s="2"/>
      <c r="F17" s="2"/>
      <c r="G17" s="2"/>
      <c r="H17" s="2"/>
      <c r="I17" s="2"/>
    </row>
    <row r="18" spans="1:9" s="3" customFormat="1" ht="105" x14ac:dyDescent="0.3">
      <c r="A18" s="2"/>
      <c r="B18" s="2"/>
      <c r="C18" s="7" t="str">
        <f>"說明："&amp;I12</f>
        <v>說明：影響空氣密度的三大核心氣象因素為：高度(高度越高，氣壓越低，氣體分子越少，密度越小)、溫度(溫度越高，分子間距變大，密度越小)及濕度(水蒸氣分子比氮氣與氧氣輕，濕度越高則空氣越輕，密度越小)。而『應力』屬於固體力學範疇，並非改變大氣密度的氣象因子。</v>
      </c>
      <c r="D18" s="2"/>
      <c r="E18" s="2"/>
      <c r="F18" s="2"/>
      <c r="G18" s="2"/>
      <c r="H18" s="2"/>
      <c r="I18" s="2"/>
    </row>
    <row r="19" spans="1:9" s="3" customFormat="1" ht="120" x14ac:dyDescent="0.3">
      <c r="A19" s="4" t="str">
        <f>dB題庫!A4</f>
        <v>3</v>
      </c>
      <c r="B19" s="4" t="str">
        <f>dB題庫!B4</f>
        <v>當空氣中分子較少且稀薄，表示其密度高度為何</v>
      </c>
      <c r="C19" s="4" t="str">
        <f t="shared" ref="C19:C33" si="0">A19&amp;"."&amp;B19</f>
        <v>3.當空氣中分子較少且稀薄，表示其密度高度為何</v>
      </c>
      <c r="D19" s="4" t="str">
        <f>dB題庫!C4</f>
        <v>越高。</v>
      </c>
      <c r="E19" s="4" t="str">
        <f>dB題庫!D4</f>
        <v>越低。</v>
      </c>
      <c r="F19" s="4" t="str">
        <f>dB題庫!E4</f>
        <v>可能高也可能低。</v>
      </c>
      <c r="G19" s="4" t="str">
        <f>dB題庫!F4</f>
        <v>無法判斷。</v>
      </c>
      <c r="H19" s="4" t="str">
        <f>dB題庫!G4</f>
        <v>A</v>
      </c>
      <c r="I19" s="4" t="str">
        <f>dB題庫!H4</f>
        <v>『密度高度』(Density Altitude)是指標準大氣中與特定空氣密度相對應的高度。當空氣分子較少、空氣稀薄(密度低)時，其表現與標準大氣中較高海拔處的空氣特性相符，因此對應的『密度高度越高』。高密度高度會顯著降低航空器的引擎出力與機翼升力效率。
當空氣中分子較少且稀薄時，代表其密度高度（Density Altitude）越高。「密度高度」是指將當下大氣狀態（包含高度、溫度、濕度與氣壓等）換算為標準大氣壓下所對應的等效高度。高密度高度代表空氣分子稀疏，因此飛機或無人機在此環境下的空氣動力性能會變差。</v>
      </c>
    </row>
    <row r="20" spans="1:9" s="3" customFormat="1" x14ac:dyDescent="0.3">
      <c r="A20" s="2"/>
      <c r="B20" s="1"/>
      <c r="C20" s="7" t="str">
        <f>"(A.)"&amp;D19</f>
        <v>(A.)越高。</v>
      </c>
      <c r="D20" s="2"/>
      <c r="E20" s="2"/>
      <c r="F20" s="2"/>
      <c r="G20" s="2"/>
      <c r="H20" s="2"/>
      <c r="I20" s="2"/>
    </row>
    <row r="21" spans="1:9" s="3" customFormat="1" x14ac:dyDescent="0.3">
      <c r="A21" s="2"/>
      <c r="B21" s="1"/>
      <c r="C21" s="7" t="str">
        <f>"(B.)"&amp;E19</f>
        <v>(B.)越低。</v>
      </c>
      <c r="D21" s="2"/>
      <c r="E21" s="2"/>
      <c r="F21" s="2"/>
      <c r="G21" s="2"/>
      <c r="H21" s="2"/>
      <c r="I21" s="2"/>
    </row>
    <row r="22" spans="1:9" s="3" customFormat="1" x14ac:dyDescent="0.3">
      <c r="A22" s="2"/>
      <c r="B22" s="2"/>
      <c r="C22" s="7" t="str">
        <f>"(C.)"&amp;F19</f>
        <v>(C.)可能高也可能低。</v>
      </c>
      <c r="D22" s="2"/>
      <c r="E22" s="2"/>
      <c r="F22" s="2"/>
      <c r="G22" s="2"/>
      <c r="H22" s="2"/>
      <c r="I22" s="2"/>
    </row>
    <row r="23" spans="1:9" s="3" customFormat="1" x14ac:dyDescent="0.3">
      <c r="A23" s="2"/>
      <c r="B23" s="2"/>
      <c r="C23" s="7" t="str">
        <f>"(D.)"&amp;G19</f>
        <v>(D.)無法判斷。</v>
      </c>
      <c r="D23" s="2"/>
      <c r="E23" s="2"/>
      <c r="F23" s="2"/>
      <c r="G23" s="2"/>
      <c r="H23" s="2"/>
      <c r="I23" s="2"/>
    </row>
    <row r="24" spans="1:9" s="3" customFormat="1" x14ac:dyDescent="0.3">
      <c r="A24" s="2"/>
      <c r="B24" s="2"/>
      <c r="C24" s="7" t="str">
        <f>"答案是： "&amp;IF(H19="A",C20,IF(H19="B",C21,IF(H19="C",C22,IF(H19=("D"),C23,"XXXX"))))</f>
        <v>答案是： (A.)越高。</v>
      </c>
      <c r="D24" s="2"/>
      <c r="E24" s="2"/>
      <c r="F24" s="2"/>
      <c r="G24" s="2"/>
      <c r="H24" s="2"/>
      <c r="I24" s="2"/>
    </row>
    <row r="25" spans="1:9" s="3" customFormat="1" ht="180" x14ac:dyDescent="0.3">
      <c r="A25" s="2"/>
      <c r="B25" s="2"/>
      <c r="C25" s="7" t="str">
        <f>"說明："&amp;I19</f>
        <v>說明：『密度高度』(Density Altitude)是指標準大氣中與特定空氣密度相對應的高度。當空氣分子較少、空氣稀薄(密度低)時，其表現與標準大氣中較高海拔處的空氣特性相符，因此對應的『密度高度越高』。高密度高度會顯著降低航空器的引擎出力與機翼升力效率。
當空氣中分子較少且稀薄時，代表其密度高度（Density Altitude）越高。「密度高度」是指將當下大氣狀態（包含高度、溫度、濕度與氣壓等）換算為標準大氣壓下所對應的等效高度。高密度高度代表空氣分子稀疏，因此飛機或無人機在此環境下的空氣動力性能會變差。</v>
      </c>
      <c r="D25" s="2"/>
      <c r="E25" s="2"/>
      <c r="F25" s="2"/>
      <c r="G25" s="2"/>
      <c r="H25" s="2"/>
      <c r="I25" s="2"/>
    </row>
    <row r="26" spans="1:9" s="3" customFormat="1" ht="45" x14ac:dyDescent="0.3">
      <c r="A26" s="4" t="str">
        <f>dB題庫!A5</f>
        <v>4</v>
      </c>
      <c r="B26" s="4" t="str">
        <f>dB題庫!B5</f>
        <v>當空氣中分子較多且濃厚，表示其密度高度為何</v>
      </c>
      <c r="C26" s="4" t="str">
        <f t="shared" si="0"/>
        <v>4.當空氣中分子較多且濃厚，表示其密度高度為何</v>
      </c>
      <c r="D26" s="4" t="str">
        <f>dB題庫!C5</f>
        <v>越高。</v>
      </c>
      <c r="E26" s="4" t="str">
        <f>dB題庫!D5</f>
        <v>越低。</v>
      </c>
      <c r="F26" s="4" t="str">
        <f>dB題庫!E5</f>
        <v>可能高也可能低。</v>
      </c>
      <c r="G26" s="4" t="str">
        <f>dB題庫!F5</f>
        <v>無法判斷。</v>
      </c>
      <c r="H26" s="4" t="str">
        <f>dB題庫!G5</f>
        <v>B</v>
      </c>
      <c r="I26" s="4" t="str">
        <f>dB題庫!H5</f>
        <v>空氣分子較多且濃厚意味著空氣密度高。高密度的空氣與標準大氣中低海拔處的空氣密度相符，因此其『密度高度越低』。低密度高度是飛行的理想環境，能提供無人機極佳的發動機效率與升力性能。</v>
      </c>
    </row>
    <row r="27" spans="1:9" s="3" customFormat="1" x14ac:dyDescent="0.3">
      <c r="A27" s="2"/>
      <c r="B27" s="1"/>
      <c r="C27" s="7" t="str">
        <f>"(A.)"&amp;D26</f>
        <v>(A.)越高。</v>
      </c>
      <c r="D27" s="2"/>
      <c r="E27" s="2"/>
      <c r="F27" s="2"/>
      <c r="G27" s="2"/>
      <c r="H27" s="2"/>
      <c r="I27" s="2"/>
    </row>
    <row r="28" spans="1:9" s="3" customFormat="1" x14ac:dyDescent="0.3">
      <c r="A28" s="2"/>
      <c r="B28" s="1"/>
      <c r="C28" s="7" t="str">
        <f>"(B.)"&amp;E26</f>
        <v>(B.)越低。</v>
      </c>
      <c r="D28" s="2"/>
      <c r="E28" s="2"/>
      <c r="F28" s="2"/>
      <c r="G28" s="2"/>
      <c r="H28" s="2"/>
      <c r="I28" s="2"/>
    </row>
    <row r="29" spans="1:9" s="3" customFormat="1" x14ac:dyDescent="0.3">
      <c r="A29" s="2"/>
      <c r="B29" s="2"/>
      <c r="C29" s="7" t="str">
        <f>"(C.)"&amp;F26</f>
        <v>(C.)可能高也可能低。</v>
      </c>
      <c r="D29" s="2"/>
      <c r="E29" s="2"/>
      <c r="F29" s="2"/>
      <c r="G29" s="2"/>
      <c r="H29" s="2"/>
      <c r="I29" s="2"/>
    </row>
    <row r="30" spans="1:9" s="3" customFormat="1" x14ac:dyDescent="0.3">
      <c r="A30" s="2"/>
      <c r="B30" s="2"/>
      <c r="C30" s="7" t="str">
        <f>"(D.)"&amp;G26</f>
        <v>(D.)無法判斷。</v>
      </c>
      <c r="D30" s="2"/>
      <c r="E30" s="2"/>
      <c r="F30" s="2"/>
      <c r="G30" s="2"/>
      <c r="H30" s="2"/>
      <c r="I30" s="2"/>
    </row>
    <row r="31" spans="1:9" s="3" customFormat="1" x14ac:dyDescent="0.3">
      <c r="A31" s="2"/>
      <c r="B31" s="2"/>
      <c r="C31" s="7" t="str">
        <f>"答案是： "&amp;IF(H26="A",C27,IF(H26="B",C28,IF(H26="C",C29,IF(H26=("D"),C30,"XXXX"))))</f>
        <v>答案是： (B.)越低。</v>
      </c>
      <c r="D31" s="2"/>
      <c r="E31" s="2"/>
      <c r="F31" s="2"/>
      <c r="G31" s="2"/>
      <c r="H31" s="2"/>
      <c r="I31" s="2"/>
    </row>
    <row r="32" spans="1:9" s="3" customFormat="1" ht="75" x14ac:dyDescent="0.3">
      <c r="A32" s="2"/>
      <c r="B32" s="2"/>
      <c r="C32" s="7" t="str">
        <f>"說明："&amp;I26</f>
        <v>說明：空氣分子較多且濃厚意味著空氣密度高。高密度的空氣與標準大氣中低海拔處的空氣密度相符，因此其『密度高度越低』。低密度高度是飛行的理想環境，能提供無人機極佳的發動機效率與升力性能。</v>
      </c>
      <c r="D32" s="2"/>
      <c r="E32" s="2"/>
      <c r="F32" s="2"/>
      <c r="G32" s="2"/>
      <c r="H32" s="2"/>
      <c r="I32" s="2"/>
    </row>
    <row r="33" spans="1:9" s="3" customFormat="1" ht="45" x14ac:dyDescent="0.3">
      <c r="A33" s="4" t="str">
        <f>dB題庫!A6</f>
        <v>5</v>
      </c>
      <c r="B33" s="4" t="str">
        <f>dB題庫!B6</f>
        <v>高密度高度之環境比較不會出現於下列何處</v>
      </c>
      <c r="C33" s="4" t="str">
        <f t="shared" si="0"/>
        <v>5.高密度高度之環境比較不會出現於下列何處</v>
      </c>
      <c r="D33" s="4" t="str">
        <f>dB題庫!C6</f>
        <v>低海拔處。</v>
      </c>
      <c r="E33" s="4" t="str">
        <f>dB題庫!D6</f>
        <v>高溫處。</v>
      </c>
      <c r="F33" s="4" t="str">
        <f>dB題庫!E6</f>
        <v>非常潮濕之處。</v>
      </c>
      <c r="G33" s="4" t="str">
        <f>dB題庫!F6</f>
        <v>低大氣壓力之處。</v>
      </c>
      <c r="H33" s="4" t="str">
        <f>dB題庫!G6</f>
        <v>A</v>
      </c>
      <c r="I33" s="4" t="str">
        <f>dB題庫!H6</f>
        <v>高密度高度意指空氣稀薄的環境。高溫、高濕度、低大氣壓力均會導致空氣密度降低(即拉高密度高度)。相對地，低海拔處通常氣壓較高、空氣較為濃厚，屬於低密度高度環境，因此『高密度高度』比較不會出現在低海拔處。</v>
      </c>
    </row>
    <row r="34" spans="1:9" s="3" customFormat="1" x14ac:dyDescent="0.3">
      <c r="A34" s="2" t="s">
        <v>99</v>
      </c>
      <c r="B34" s="1"/>
      <c r="C34" s="7" t="str">
        <f>"(A.)"&amp;D33</f>
        <v>(A.)低海拔處。</v>
      </c>
      <c r="D34" s="2"/>
      <c r="E34" s="2"/>
      <c r="F34" s="2"/>
      <c r="G34" s="2"/>
      <c r="H34" s="2"/>
      <c r="I34" s="2"/>
    </row>
    <row r="35" spans="1:9" s="3" customFormat="1" x14ac:dyDescent="0.3">
      <c r="A35" s="2"/>
      <c r="B35" s="1"/>
      <c r="C35" s="7" t="str">
        <f>"(B.)"&amp;E33</f>
        <v>(B.)高溫處。</v>
      </c>
      <c r="D35" s="2"/>
      <c r="E35" s="2"/>
      <c r="F35" s="2"/>
      <c r="G35" s="2"/>
      <c r="H35" s="2"/>
      <c r="I35" s="2"/>
    </row>
    <row r="36" spans="1:9" s="3" customFormat="1" x14ac:dyDescent="0.3">
      <c r="A36" s="2"/>
      <c r="B36" s="2"/>
      <c r="C36" s="7" t="str">
        <f>"(C.)"&amp;F33</f>
        <v>(C.)非常潮濕之處。</v>
      </c>
      <c r="D36" s="2"/>
      <c r="E36" s="2"/>
      <c r="F36" s="2"/>
      <c r="G36" s="2"/>
      <c r="H36" s="2"/>
      <c r="I36" s="2"/>
    </row>
    <row r="37" spans="1:9" s="3" customFormat="1" x14ac:dyDescent="0.3">
      <c r="A37" s="2"/>
      <c r="B37" s="2"/>
      <c r="C37" s="7" t="str">
        <f>"(D.)"&amp;G33</f>
        <v>(D.)低大氣壓力之處。</v>
      </c>
      <c r="D37" s="2"/>
      <c r="E37" s="2"/>
      <c r="F37" s="2"/>
      <c r="G37" s="2"/>
      <c r="H37" s="2"/>
      <c r="I37" s="2"/>
    </row>
    <row r="38" spans="1:9" s="3" customFormat="1" x14ac:dyDescent="0.3">
      <c r="A38" s="2"/>
      <c r="B38" s="2"/>
      <c r="C38" s="7" t="str">
        <f>"答案是： "&amp;IF(H33="A",C34,IF(H33="B",C35,IF(H33="C",C36,IF(H33=("D"),C37,"XXXX"))))</f>
        <v>答案是： (A.)低海拔處。</v>
      </c>
      <c r="D38" s="2"/>
      <c r="E38" s="2"/>
      <c r="F38" s="2"/>
      <c r="G38" s="2"/>
      <c r="H38" s="2"/>
      <c r="I38" s="2"/>
    </row>
    <row r="39" spans="1:9" s="3" customFormat="1" ht="90" x14ac:dyDescent="0.3">
      <c r="A39" s="2"/>
      <c r="B39" s="2"/>
      <c r="C39" s="7" t="str">
        <f>"說明："&amp;I33</f>
        <v>說明：高密度高度意指空氣稀薄的環境。高溫、高濕度、低大氣壓力均會導致空氣密度降低(即拉高密度高度)。相對地，低海拔處通常氣壓較高、空氣較為濃厚，屬於低密度高度環境，因此『高密度高度』比較不會出現在低海拔處。</v>
      </c>
      <c r="D39" s="2"/>
      <c r="E39" s="2"/>
      <c r="F39" s="2"/>
      <c r="G39" s="2"/>
      <c r="H39" s="2"/>
      <c r="I39" s="2"/>
    </row>
    <row r="40" spans="1:9" s="3" customFormat="1" ht="60" x14ac:dyDescent="0.3">
      <c r="A40" s="4" t="str">
        <f>dB題庫!A7</f>
        <v>6</v>
      </c>
      <c r="B40" s="4" t="str">
        <f>dB題庫!B7</f>
        <v>低密度高度之環境比較不會出現於下列何處</v>
      </c>
      <c r="C40" s="4" t="str">
        <f t="shared" ref="C40:C439" si="1">A40&amp;"."&amp;B40</f>
        <v>6.低密度高度之環境比較不會出現於下列何處</v>
      </c>
      <c r="D40" s="4" t="str">
        <f>dB題庫!C7</f>
        <v>大氣壓力極高之處。</v>
      </c>
      <c r="E40" s="4" t="str">
        <f>dB題庫!D7</f>
        <v>低海拔處。</v>
      </c>
      <c r="F40" s="4" t="str">
        <f>dB題庫!E7</f>
        <v>乾燥處。</v>
      </c>
      <c r="G40" s="4" t="str">
        <f>dB題庫!F7</f>
        <v>高溫處。</v>
      </c>
      <c r="H40" s="4" t="str">
        <f>dB題庫!G7</f>
        <v>D</v>
      </c>
      <c r="I40" s="4" t="str">
        <f>dB題庫!H7</f>
        <v>低密度高度意指空氣密集的良好飛行環境。高大氣壓力、低海拔以及乾燥空氣(水氣少)皆會使空氣密度增加，進而降低密度高度。而『高溫處』會使空氣分子膨脹、密度下降，表現出高密度高度特徵，因此低密度高度環境絕對不會出現在高溫處。</v>
      </c>
    </row>
    <row r="41" spans="1:9" s="3" customFormat="1" x14ac:dyDescent="0.3">
      <c r="A41" s="2" t="s">
        <v>99</v>
      </c>
      <c r="B41" s="1"/>
      <c r="C41" s="7" t="str">
        <f>"(A.)"&amp;D40</f>
        <v>(A.)大氣壓力極高之處。</v>
      </c>
      <c r="D41" s="2"/>
      <c r="E41" s="2"/>
      <c r="F41" s="2"/>
      <c r="G41" s="2"/>
      <c r="H41" s="2"/>
      <c r="I41" s="2"/>
    </row>
    <row r="42" spans="1:9" s="3" customFormat="1" x14ac:dyDescent="0.3">
      <c r="A42" s="2"/>
      <c r="B42" s="1"/>
      <c r="C42" s="7" t="str">
        <f>"(B.)"&amp;E40</f>
        <v>(B.)低海拔處。</v>
      </c>
      <c r="D42" s="2"/>
      <c r="E42" s="2"/>
      <c r="F42" s="2"/>
      <c r="G42" s="2"/>
      <c r="H42" s="2"/>
      <c r="I42" s="2"/>
    </row>
    <row r="43" spans="1:9" s="3" customFormat="1" x14ac:dyDescent="0.3">
      <c r="A43" s="2"/>
      <c r="B43" s="2"/>
      <c r="C43" s="7" t="str">
        <f>"(C.)"&amp;F40</f>
        <v>(C.)乾燥處。</v>
      </c>
      <c r="D43" s="2"/>
      <c r="E43" s="2"/>
      <c r="F43" s="2"/>
      <c r="G43" s="2"/>
      <c r="H43" s="2"/>
      <c r="I43" s="2"/>
    </row>
    <row r="44" spans="1:9" s="3" customFormat="1" x14ac:dyDescent="0.3">
      <c r="A44" s="2"/>
      <c r="B44" s="2"/>
      <c r="C44" s="7" t="str">
        <f>"(D.)"&amp;G40</f>
        <v>(D.)高溫處。</v>
      </c>
      <c r="D44" s="2"/>
      <c r="E44" s="2"/>
      <c r="F44" s="2"/>
      <c r="G44" s="2"/>
      <c r="H44" s="2"/>
      <c r="I44" s="2"/>
    </row>
    <row r="45" spans="1:9" s="3" customFormat="1" x14ac:dyDescent="0.3">
      <c r="A45" s="2"/>
      <c r="B45" s="2"/>
      <c r="C45" s="7" t="str">
        <f>"答案是： "&amp;IF(H40="A",C41,IF(H40="B",C42,IF(H40="C",C43,IF(H40=("D"),C44,"XXXX"))))</f>
        <v>答案是： (D.)高溫處。</v>
      </c>
      <c r="D45" s="2"/>
      <c r="E45" s="2"/>
      <c r="F45" s="2"/>
      <c r="G45" s="2"/>
      <c r="H45" s="2"/>
      <c r="I45" s="2"/>
    </row>
    <row r="46" spans="1:9" s="3" customFormat="1" ht="90" x14ac:dyDescent="0.3">
      <c r="A46" s="2"/>
      <c r="B46" s="2"/>
      <c r="C46" s="7" t="str">
        <f>"說明："&amp;I40</f>
        <v>說明：低密度高度意指空氣密集的良好飛行環境。高大氣壓力、低海拔以及乾燥空氣(水氣少)皆會使空氣密度增加，進而降低密度高度。而『高溫處』會使空氣分子膨脹、密度下降，表現出高密度高度特徵，因此低密度高度環境絕對不會出現在高溫處。</v>
      </c>
      <c r="D46" s="2"/>
      <c r="E46" s="2"/>
      <c r="F46" s="2"/>
      <c r="G46" s="2"/>
      <c r="H46" s="2"/>
      <c r="I46" s="2"/>
    </row>
    <row r="47" spans="1:9" s="3" customFormat="1" ht="60" x14ac:dyDescent="0.3">
      <c r="A47" s="4" t="str">
        <f>dB題庫!A8</f>
        <v>7</v>
      </c>
      <c r="B47" s="4" t="str">
        <f>dB題庫!B8</f>
        <v>空氣可藉由外界的作功達到下列哪種效果</v>
      </c>
      <c r="C47" s="4" t="str">
        <f t="shared" si="1"/>
        <v>7.空氣可藉由外界的作功達到下列哪種效果</v>
      </c>
      <c r="D47" s="4" t="str">
        <f>dB題庫!C8</f>
        <v>加工成形。</v>
      </c>
      <c r="E47" s="4" t="str">
        <f>dB題庫!D8</f>
        <v>染色。</v>
      </c>
      <c r="F47" s="4" t="str">
        <f>dB題庫!E8</f>
        <v>壓縮及膨脹。</v>
      </c>
      <c r="G47" s="4" t="str">
        <f>dB題庫!F8</f>
        <v>以上皆主。</v>
      </c>
      <c r="H47" s="4" t="str">
        <f>dB題庫!G8</f>
        <v>C</v>
      </c>
      <c r="I47" s="4" t="str">
        <f>dB題庫!H8</f>
        <v>大氣是由氣體分子所組成的流體，具備顯著的可壓縮性。當外界對空氣施加力(做功)時(如氣流通過收縮管道或上升受壓改變)，空氣體積會隨之發生『壓縮』或『膨脹』，進而改變其溫度與壓力，這是熱力學與航空氣象的核心原理。</v>
      </c>
    </row>
    <row r="48" spans="1:9" s="3" customFormat="1" x14ac:dyDescent="0.3">
      <c r="A48" s="2" t="s">
        <v>99</v>
      </c>
      <c r="B48" s="1"/>
      <c r="C48" s="7" t="str">
        <f>"(A.)"&amp;D47</f>
        <v>(A.)加工成形。</v>
      </c>
      <c r="D48" s="2"/>
      <c r="E48" s="2"/>
      <c r="F48" s="2"/>
      <c r="G48" s="2"/>
      <c r="H48" s="2"/>
      <c r="I48" s="2"/>
    </row>
    <row r="49" spans="1:9" s="3" customFormat="1" x14ac:dyDescent="0.3">
      <c r="A49" s="2"/>
      <c r="B49" s="1"/>
      <c r="C49" s="7" t="str">
        <f>"(B.)"&amp;E47</f>
        <v>(B.)染色。</v>
      </c>
      <c r="D49" s="2"/>
      <c r="E49" s="2"/>
      <c r="F49" s="2"/>
      <c r="G49" s="2"/>
      <c r="H49" s="2"/>
      <c r="I49" s="2"/>
    </row>
    <row r="50" spans="1:9" s="3" customFormat="1" x14ac:dyDescent="0.3">
      <c r="A50" s="2"/>
      <c r="B50" s="2"/>
      <c r="C50" s="7" t="str">
        <f>"(C.)"&amp;F47</f>
        <v>(C.)壓縮及膨脹。</v>
      </c>
      <c r="D50" s="2"/>
      <c r="E50" s="2"/>
      <c r="F50" s="2"/>
      <c r="G50" s="2"/>
      <c r="H50" s="2"/>
      <c r="I50" s="2"/>
    </row>
    <row r="51" spans="1:9" s="3" customFormat="1" x14ac:dyDescent="0.3">
      <c r="A51" s="2"/>
      <c r="B51" s="2"/>
      <c r="C51" s="7" t="str">
        <f>"(D.)"&amp;G47</f>
        <v>(D.)以上皆主。</v>
      </c>
      <c r="D51" s="2"/>
      <c r="E51" s="2"/>
      <c r="F51" s="2"/>
      <c r="G51" s="2"/>
      <c r="H51" s="2"/>
      <c r="I51" s="2"/>
    </row>
    <row r="52" spans="1:9" s="3" customFormat="1" x14ac:dyDescent="0.3">
      <c r="A52" s="2"/>
      <c r="B52" s="2"/>
      <c r="C52" s="7" t="str">
        <f>"答案是： "&amp;IF(H47="A",C48,IF(H47="B",C49,IF(H47="C",C50,IF(H47=("D"),C51,"XXXX"))))</f>
        <v>答案是： (C.)壓縮及膨脹。</v>
      </c>
      <c r="D52" s="2"/>
      <c r="E52" s="2"/>
      <c r="F52" s="2"/>
      <c r="G52" s="2"/>
      <c r="H52" s="2"/>
      <c r="I52" s="2"/>
    </row>
    <row r="53" spans="1:9" s="3" customFormat="1" ht="90" x14ac:dyDescent="0.3">
      <c r="A53" s="2"/>
      <c r="B53" s="2"/>
      <c r="C53" s="7" t="str">
        <f>"說明："&amp;I47</f>
        <v>說明：大氣是由氣體分子所組成的流體，具備顯著的可壓縮性。當外界對空氣施加力(做功)時(如氣流通過收縮管道或上升受壓改變)，空氣體積會隨之發生『壓縮』或『膨脹』，進而改變其溫度與壓力，這是熱力學與航空氣象的核心原理。</v>
      </c>
      <c r="D53" s="2"/>
      <c r="E53" s="2"/>
      <c r="F53" s="2"/>
      <c r="G53" s="2"/>
      <c r="H53" s="2"/>
      <c r="I53" s="2"/>
    </row>
    <row r="54" spans="1:9" s="3" customFormat="1" ht="60" x14ac:dyDescent="0.3">
      <c r="A54" s="4" t="str">
        <f>dB題庫!A9</f>
        <v>8</v>
      </c>
      <c r="B54" s="4" t="str">
        <f>dB題庫!B9</f>
        <v>於固定空氣體積下，升溫時該體積空氣密度減少，降溫時該體積空氣密度為下列何種變化</v>
      </c>
      <c r="C54" s="4" t="str">
        <f t="shared" si="1"/>
        <v>8.於固定空氣體積下，升溫時該體積空氣密度減少，降溫時該體積空氣密度為下列何種變化</v>
      </c>
      <c r="D54" s="4" t="str">
        <f>dB題庫!C9</f>
        <v>增加。</v>
      </c>
      <c r="E54" s="4" t="str">
        <f>dB題庫!D9</f>
        <v>減少。</v>
      </c>
      <c r="F54" s="4" t="str">
        <f>dB題庫!E9</f>
        <v>不變。</v>
      </c>
      <c r="G54" s="4" t="str">
        <f>dB題庫!F9</f>
        <v>有時增加有時減少。</v>
      </c>
      <c r="H54" s="4" t="str">
        <f>dB題庫!G9</f>
        <v>A</v>
      </c>
      <c r="I54" s="4" t="str">
        <f>dB題庫!H9</f>
        <v>根據氣體狀態方程($P = \rho R T$)，在固定體積或恆定壓力下，氣體的密度($\rho$)與絕對溫度($T$)成反比。當空氣溫度下降(降溫)時，氣體分子的熱運動減弱、彼此靠攏，導致單位體積內的分子數量增加，即空氣密度『增加』。</v>
      </c>
    </row>
    <row r="55" spans="1:9" s="3" customFormat="1" x14ac:dyDescent="0.3">
      <c r="A55" s="2" t="s">
        <v>99</v>
      </c>
      <c r="B55" s="1"/>
      <c r="C55" s="7" t="str">
        <f>"(A.)"&amp;D54</f>
        <v>(A.)增加。</v>
      </c>
      <c r="D55" s="2"/>
      <c r="E55" s="2"/>
      <c r="F55" s="2"/>
      <c r="G55" s="2"/>
      <c r="H55" s="2"/>
      <c r="I55" s="2"/>
    </row>
    <row r="56" spans="1:9" s="3" customFormat="1" x14ac:dyDescent="0.3">
      <c r="A56" s="2"/>
      <c r="B56" s="1"/>
      <c r="C56" s="7" t="str">
        <f>"(B.)"&amp;E54</f>
        <v>(B.)減少。</v>
      </c>
      <c r="D56" s="2"/>
      <c r="E56" s="2"/>
      <c r="F56" s="2"/>
      <c r="G56" s="2"/>
      <c r="H56" s="2"/>
      <c r="I56" s="2"/>
    </row>
    <row r="57" spans="1:9" s="3" customFormat="1" x14ac:dyDescent="0.3">
      <c r="A57" s="2"/>
      <c r="B57" s="2"/>
      <c r="C57" s="7" t="str">
        <f>"(C.)"&amp;F54</f>
        <v>(C.)不變。</v>
      </c>
      <c r="D57" s="2"/>
      <c r="E57" s="2"/>
      <c r="F57" s="2"/>
      <c r="G57" s="2"/>
      <c r="H57" s="2"/>
      <c r="I57" s="2"/>
    </row>
    <row r="58" spans="1:9" s="3" customFormat="1" x14ac:dyDescent="0.3">
      <c r="A58" s="2"/>
      <c r="B58" s="2"/>
      <c r="C58" s="7" t="str">
        <f>"(D.)"&amp;G54</f>
        <v>(D.)有時增加有時減少。</v>
      </c>
      <c r="D58" s="2"/>
      <c r="E58" s="2"/>
      <c r="F58" s="2"/>
      <c r="G58" s="2"/>
      <c r="H58" s="2"/>
      <c r="I58" s="2"/>
    </row>
    <row r="59" spans="1:9" s="3" customFormat="1" x14ac:dyDescent="0.3">
      <c r="A59" s="2"/>
      <c r="B59" s="2"/>
      <c r="C59" s="7" t="str">
        <f>"答案是： "&amp;IF(H54="A",C55,IF(H54="B",C56,IF(H54="C",C57,IF(H54=("D"),C58,"XXXX"))))</f>
        <v>答案是： (A.)增加。</v>
      </c>
      <c r="D59" s="2"/>
      <c r="E59" s="2"/>
      <c r="F59" s="2"/>
      <c r="G59" s="2"/>
      <c r="H59" s="2"/>
      <c r="I59" s="2"/>
    </row>
    <row r="60" spans="1:9" s="3" customFormat="1" ht="90" x14ac:dyDescent="0.3">
      <c r="A60" s="2"/>
      <c r="B60" s="2"/>
      <c r="C60" s="7" t="str">
        <f>"說明："&amp;I54</f>
        <v>說明：根據氣體狀態方程($P = \rho R T$)，在固定體積或恆定壓力下，氣體的密度($\rho$)與絕對溫度($T$)成反比。當空氣溫度下降(降溫)時，氣體分子的熱運動減弱、彼此靠攏，導致單位體積內的分子數量增加，即空氣密度『增加』。</v>
      </c>
      <c r="D60" s="2"/>
      <c r="E60" s="2"/>
      <c r="F60" s="2"/>
      <c r="G60" s="2"/>
      <c r="H60" s="2"/>
      <c r="I60" s="2"/>
    </row>
    <row r="61" spans="1:9" s="3" customFormat="1" ht="45" x14ac:dyDescent="0.3">
      <c r="A61" s="4" t="str">
        <f>dB題庫!A10</f>
        <v>9</v>
      </c>
      <c r="B61" s="4" t="str">
        <f>dB題庫!B10</f>
        <v>對流層裡，溫度及壓力均隨高度增加而有下列何種變化</v>
      </c>
      <c r="C61" s="4" t="str">
        <f t="shared" si="1"/>
        <v>9.對流層裡，溫度及壓力均隨高度增加而有下列何種變化</v>
      </c>
      <c r="D61" s="4" t="str">
        <f>dB題庫!C10</f>
        <v>降低。</v>
      </c>
      <c r="E61" s="4" t="str">
        <f>dB題庫!D10</f>
        <v>增加。</v>
      </c>
      <c r="F61" s="4" t="str">
        <f>dB題庫!E10</f>
        <v>不變。</v>
      </c>
      <c r="G61" s="4" t="str">
        <f>dB題庫!F10</f>
        <v>有時增加有時降低。</v>
      </c>
      <c r="H61" s="4" t="str">
        <f>dB題庫!G10</f>
        <v>A</v>
      </c>
      <c r="I61" s="4" t="str">
        <f>dB題庫!H10</f>
        <v>在地球大氣的對流層中，大氣的主要熱源來自於地表吸收太陽輻射後的長波長再輻射，且上方空氣柱變短使壓力減小。因此，隨著海拔高度的增加，氣溫(平均每上升1,000英呎下降2°C)與大氣壓力均呈現持續『降低』的現象。</v>
      </c>
    </row>
    <row r="62" spans="1:9" s="3" customFormat="1" x14ac:dyDescent="0.3">
      <c r="A62" s="2" t="s">
        <v>99</v>
      </c>
      <c r="B62" s="1"/>
      <c r="C62" s="7" t="str">
        <f>"(A.)"&amp;D61</f>
        <v>(A.)降低。</v>
      </c>
      <c r="D62" s="2"/>
      <c r="E62" s="2"/>
      <c r="F62" s="2"/>
      <c r="G62" s="2"/>
      <c r="H62" s="2"/>
      <c r="I62" s="2"/>
    </row>
    <row r="63" spans="1:9" s="3" customFormat="1" x14ac:dyDescent="0.3">
      <c r="A63" s="2"/>
      <c r="B63" s="1"/>
      <c r="C63" s="7" t="str">
        <f>"(B.)"&amp;E61</f>
        <v>(B.)增加。</v>
      </c>
      <c r="D63" s="2"/>
      <c r="E63" s="2"/>
      <c r="F63" s="2"/>
      <c r="G63" s="2"/>
      <c r="H63" s="2"/>
      <c r="I63" s="2"/>
    </row>
    <row r="64" spans="1:9" s="3" customFormat="1" x14ac:dyDescent="0.3">
      <c r="A64" s="2"/>
      <c r="B64" s="2"/>
      <c r="C64" s="7" t="str">
        <f>"(C.)"&amp;F61</f>
        <v>(C.)不變。</v>
      </c>
      <c r="D64" s="2"/>
      <c r="E64" s="2"/>
      <c r="F64" s="2"/>
      <c r="G64" s="2"/>
      <c r="H64" s="2"/>
      <c r="I64" s="2"/>
    </row>
    <row r="65" spans="1:9" s="3" customFormat="1" x14ac:dyDescent="0.3">
      <c r="A65" s="2"/>
      <c r="B65" s="2"/>
      <c r="C65" s="7" t="str">
        <f>"(D.)"&amp;G61</f>
        <v>(D.)有時增加有時降低。</v>
      </c>
      <c r="D65" s="2"/>
      <c r="E65" s="2"/>
      <c r="F65" s="2"/>
      <c r="G65" s="2"/>
      <c r="H65" s="2"/>
      <c r="I65" s="2"/>
    </row>
    <row r="66" spans="1:9" s="3" customFormat="1" x14ac:dyDescent="0.3">
      <c r="A66" s="2"/>
      <c r="B66" s="2"/>
      <c r="C66" s="7" t="str">
        <f>"答案是： "&amp;IF(H61="A",C62,IF(H61="B",C63,IF(H61="C",C64,IF(H61=("D"),C65,"XXXX"))))</f>
        <v>答案是： (A.)降低。</v>
      </c>
      <c r="D66" s="2"/>
      <c r="E66" s="2"/>
      <c r="F66" s="2"/>
      <c r="G66" s="2"/>
      <c r="H66" s="2"/>
      <c r="I66" s="2"/>
    </row>
    <row r="67" spans="1:9" s="3" customFormat="1" ht="75" x14ac:dyDescent="0.3">
      <c r="A67" s="2"/>
      <c r="B67" s="2"/>
      <c r="C67" s="7" t="str">
        <f>"說明："&amp;I61</f>
        <v>說明：在地球大氣的對流層中，大氣的主要熱源來自於地表吸收太陽輻射後的長波長再輻射，且上方空氣柱變短使壓力減小。因此，隨著海拔高度的增加，氣溫(平均每上升1,000英呎下降2°C)與大氣壓力均呈現持續『降低』的現象。</v>
      </c>
      <c r="D67" s="2"/>
      <c r="E67" s="2"/>
      <c r="F67" s="2"/>
      <c r="G67" s="2"/>
      <c r="H67" s="2"/>
      <c r="I67" s="2"/>
    </row>
    <row r="68" spans="1:9" s="3" customFormat="1" ht="135" x14ac:dyDescent="0.3">
      <c r="A68" s="4" t="str">
        <f>dB題庫!A11</f>
        <v>10</v>
      </c>
      <c r="B68" s="4" t="str">
        <f>dB題庫!B11</f>
        <v>下列有關大氣壓力量測之敘述，何者錯誤</v>
      </c>
      <c r="C68" s="4" t="str">
        <f t="shared" si="1"/>
        <v>10.下列有關大氣壓力量測之敘述，何者錯誤</v>
      </c>
      <c r="D68" s="4" t="str">
        <f>dB題庫!C11</f>
        <v>國際標準大氣(International Standard Atmosphere,ISA)為各國公認之參考校正基準。</v>
      </c>
      <c r="E68" s="4" t="str">
        <f>dB題庫!D11</f>
        <v>海平面大氣壓力為29.92英吋汞柱(inHg)。</v>
      </c>
      <c r="F68" s="4" t="str">
        <f>dB題庫!E11</f>
        <v>一標準大氣壓力等於1017.2毫巴值。</v>
      </c>
      <c r="G68" s="4" t="str">
        <f>dB題庫!F11</f>
        <v>每上升1,000英呎，氣壓值減少約1英吋汞柱。</v>
      </c>
      <c r="H68" s="4" t="str">
        <f>dB題庫!G11</f>
        <v>C</v>
      </c>
      <c r="I68" s="4" t="str">
        <f>dB題庫!H11</f>
        <v>在國際標準大氣(ISA)環境中，海平面標準大氣壓力定義為 29.92 英吋汞柱(inHg)，等值換算應為 1013.25 毫巴(mb/hPa)，而非 1017.2 毫巴。因此選項 (C) 敘述錯誤，為本題之正確答案。</v>
      </c>
    </row>
    <row r="69" spans="1:9" s="3" customFormat="1" ht="30" x14ac:dyDescent="0.3">
      <c r="A69" s="2" t="s">
        <v>99</v>
      </c>
      <c r="B69" s="1"/>
      <c r="C69" s="7" t="str">
        <f>"(A.)"&amp;D68</f>
        <v>(A.)國際標準大氣(International Standard Atmosphere,ISA)為各國公認之參考校正基準。</v>
      </c>
      <c r="D69" s="2"/>
      <c r="E69" s="2"/>
      <c r="F69" s="2"/>
      <c r="G69" s="2"/>
      <c r="H69" s="2"/>
      <c r="I69" s="2"/>
    </row>
    <row r="70" spans="1:9" s="3" customFormat="1" x14ac:dyDescent="0.3">
      <c r="A70" s="2"/>
      <c r="B70" s="1"/>
      <c r="C70" s="7" t="str">
        <f>"(B.)"&amp;E68</f>
        <v>(B.)海平面大氣壓力為29.92英吋汞柱(inHg)。</v>
      </c>
      <c r="D70" s="2"/>
      <c r="E70" s="2"/>
      <c r="F70" s="2"/>
      <c r="G70" s="2"/>
      <c r="H70" s="2"/>
      <c r="I70" s="2"/>
    </row>
    <row r="71" spans="1:9" s="3" customFormat="1" x14ac:dyDescent="0.3">
      <c r="A71" s="2"/>
      <c r="B71" s="2"/>
      <c r="C71" s="7" t="str">
        <f>"(C.)"&amp;F68</f>
        <v>(C.)一標準大氣壓力等於1017.2毫巴值。</v>
      </c>
      <c r="D71" s="2"/>
      <c r="E71" s="2"/>
      <c r="F71" s="2"/>
      <c r="G71" s="2"/>
      <c r="H71" s="2"/>
      <c r="I71" s="2"/>
    </row>
    <row r="72" spans="1:9" s="3" customFormat="1" ht="30" x14ac:dyDescent="0.3">
      <c r="A72" s="2"/>
      <c r="B72" s="2"/>
      <c r="C72" s="7" t="str">
        <f>"(D.)"&amp;G68</f>
        <v>(D.)每上升1,000英呎，氣壓值減少約1英吋汞柱。</v>
      </c>
      <c r="D72" s="2"/>
      <c r="E72" s="2"/>
      <c r="F72" s="2"/>
      <c r="G72" s="2"/>
      <c r="H72" s="2"/>
      <c r="I72" s="2"/>
    </row>
    <row r="73" spans="1:9" s="3" customFormat="1" ht="30" x14ac:dyDescent="0.3">
      <c r="A73" s="2"/>
      <c r="B73" s="2"/>
      <c r="C73" s="7" t="str">
        <f>"答案是： "&amp;IF(H68="A",C69,IF(H68="B",C70,IF(H68="C",C71,IF(H68=("D"),C72,"XXXX"))))</f>
        <v>答案是： (C.)一標準大氣壓力等於1017.2毫巴值。</v>
      </c>
      <c r="D73" s="2"/>
      <c r="E73" s="2"/>
      <c r="F73" s="2"/>
      <c r="G73" s="2"/>
      <c r="H73" s="2"/>
      <c r="I73" s="2"/>
    </row>
    <row r="74" spans="1:9" s="3" customFormat="1" ht="75" x14ac:dyDescent="0.3">
      <c r="A74" s="2"/>
      <c r="B74" s="2"/>
      <c r="C74" s="7" t="str">
        <f>"說明："&amp;I68</f>
        <v>說明：在國際標準大氣(ISA)環境中，海平面標準大氣壓力定義為 29.92 英吋汞柱(inHg)，等值換算應為 1013.25 毫巴(mb/hPa)，而非 1017.2 毫巴。因此選項 (C) 敘述錯誤，為本題之正確答案。</v>
      </c>
      <c r="D74" s="2"/>
      <c r="E74" s="2"/>
      <c r="F74" s="2"/>
      <c r="G74" s="2"/>
      <c r="H74" s="2"/>
      <c r="I74" s="2"/>
    </row>
    <row r="75" spans="1:9" s="3" customFormat="1" ht="60" x14ac:dyDescent="0.3">
      <c r="A75" s="4" t="str">
        <f>dB題庫!A18</f>
        <v>17</v>
      </c>
      <c r="B75" s="4" t="str">
        <f>dB題庫!B18</f>
        <v>有關風速的單位下列何者為非</v>
      </c>
      <c r="C75" s="4" t="str">
        <f t="shared" si="1"/>
        <v>17.有關風速的單位下列何者為非</v>
      </c>
      <c r="D75" s="4" t="str">
        <f>dB題庫!C18</f>
        <v>公尺/每秒 (m/s)。</v>
      </c>
      <c r="E75" s="4" t="str">
        <f>dB題庫!D18</f>
        <v>公里/每小時 (km/h)。</v>
      </c>
      <c r="F75" s="4" t="str">
        <f>dB題庫!E18</f>
        <v>海浬/每小時(kts)。</v>
      </c>
      <c r="G75" s="4" t="str">
        <f>dB題庫!F18</f>
        <v>公斤/每小時(kg)。</v>
      </c>
      <c r="H75" s="4" t="str">
        <f>dB題庫!G18</f>
        <v>D</v>
      </c>
      <c r="I75" s="4" t="str">
        <f>dB題庫!H18</f>
        <v>風速是指單位時間內空氣移動的距離。常見的法定與航空計量單位包括公尺/秒 (m over s)、公里/小時 (km over h) 以及航管常用的節即海浬每小時 (knots)。而『公斤/每小時』是質量的時間變化率(如燃油消耗率)，不能作為速度單位。</v>
      </c>
    </row>
    <row r="76" spans="1:9" s="3" customFormat="1" x14ac:dyDescent="0.3">
      <c r="A76" s="2" t="s">
        <v>99</v>
      </c>
      <c r="B76" s="1"/>
      <c r="C76" s="7" t="str">
        <f>"(A.)"&amp;D75</f>
        <v>(A.)公尺/每秒 (m/s)。</v>
      </c>
      <c r="D76" s="2"/>
      <c r="E76" s="2"/>
      <c r="F76" s="2"/>
      <c r="G76" s="2"/>
      <c r="H76" s="2"/>
      <c r="I76" s="2"/>
    </row>
    <row r="77" spans="1:9" s="3" customFormat="1" x14ac:dyDescent="0.3">
      <c r="A77" s="2"/>
      <c r="B77" s="1"/>
      <c r="C77" s="7" t="str">
        <f>"(B.)"&amp;E75</f>
        <v>(B.)公里/每小時 (km/h)。</v>
      </c>
      <c r="D77" s="2"/>
      <c r="E77" s="2"/>
      <c r="F77" s="2"/>
      <c r="G77" s="2"/>
      <c r="H77" s="2"/>
      <c r="I77" s="2"/>
    </row>
    <row r="78" spans="1:9" s="3" customFormat="1" x14ac:dyDescent="0.3">
      <c r="A78" s="2"/>
      <c r="B78" s="2"/>
      <c r="C78" s="7" t="str">
        <f>"(C.)"&amp;F75</f>
        <v>(C.)海浬/每小時(kts)。</v>
      </c>
      <c r="D78" s="2"/>
      <c r="E78" s="2"/>
      <c r="F78" s="2"/>
      <c r="G78" s="2"/>
      <c r="H78" s="2"/>
      <c r="I78" s="2"/>
    </row>
    <row r="79" spans="1:9" s="3" customFormat="1" x14ac:dyDescent="0.3">
      <c r="A79" s="2"/>
      <c r="B79" s="2"/>
      <c r="C79" s="7" t="str">
        <f>"(D.)"&amp;G75</f>
        <v>(D.)公斤/每小時(kg)。</v>
      </c>
      <c r="D79" s="2"/>
      <c r="E79" s="2"/>
      <c r="F79" s="2"/>
      <c r="G79" s="2"/>
      <c r="H79" s="2"/>
      <c r="I79" s="2"/>
    </row>
    <row r="80" spans="1:9" s="3" customFormat="1" x14ac:dyDescent="0.3">
      <c r="A80" s="2"/>
      <c r="B80" s="2"/>
      <c r="C80" s="7" t="str">
        <f>"答案是： "&amp;IF(H75="A",C76,IF(H75="B",C77,IF(H75="C",C78,IF(H75=("D"),C79,"XXXX"))))</f>
        <v>答案是： (D.)公斤/每小時(kg)。</v>
      </c>
      <c r="D80" s="2"/>
      <c r="E80" s="2"/>
      <c r="F80" s="2"/>
      <c r="G80" s="2"/>
      <c r="H80" s="2"/>
      <c r="I80" s="2"/>
    </row>
    <row r="81" spans="1:9" s="3" customFormat="1" ht="90" x14ac:dyDescent="0.3">
      <c r="A81" s="2"/>
      <c r="B81" s="2"/>
      <c r="C81" s="7" t="str">
        <f>"說明："&amp;I75</f>
        <v>說明：風速是指單位時間內空氣移動的距離。常見的法定與航空計量單位包括公尺/秒 (m over s)、公里/小時 (km over h) 以及航管常用的節即海浬每小時 (knots)。而『公斤/每小時』是質量的時間變化率(如燃油消耗率)，不能作為速度單位。</v>
      </c>
      <c r="D81" s="2"/>
      <c r="E81" s="2"/>
      <c r="F81" s="2"/>
      <c r="G81" s="2"/>
      <c r="H81" s="2"/>
      <c r="I81" s="2"/>
    </row>
    <row r="82" spans="1:9" s="3" customFormat="1" ht="45" x14ac:dyDescent="0.3">
      <c r="A82" s="4" t="str">
        <f>dB題庫!A19</f>
        <v>18</v>
      </c>
      <c r="B82" s="4" t="str">
        <f>dB題庫!B19</f>
        <v>遙控無人機通常應於下列哪種風向下起降</v>
      </c>
      <c r="C82" s="4" t="str">
        <f t="shared" si="1"/>
        <v>18.遙控無人機通常應於下列哪種風向下起降</v>
      </c>
      <c r="D82" s="4" t="str">
        <f>dB題庫!C19</f>
        <v>順風。</v>
      </c>
      <c r="E82" s="4" t="str">
        <f>dB題庫!D19</f>
        <v>側風。</v>
      </c>
      <c r="F82" s="4" t="str">
        <f>dB題庫!E19</f>
        <v>逆風。</v>
      </c>
      <c r="G82" s="4" t="str">
        <f>dB題庫!F19</f>
        <v>任何風向。</v>
      </c>
      <c r="H82" s="4" t="str">
        <f>dB題庫!G19</f>
        <v>C</v>
      </c>
      <c r="I82" s="4" t="str">
        <f>dB題庫!H19</f>
        <v>在安全規範下，遙控無人機(尤其是定翼機)應盡量選擇在『逆風』狀態下起飛與降落。逆風能使航空器在較低的地面速度下獲得足夠的相對氣流(空速)以產生升力，縮短起降所需的滑行距離，並提供較佳的動態控制穩定性。</v>
      </c>
    </row>
    <row r="83" spans="1:9" s="3" customFormat="1" x14ac:dyDescent="0.3">
      <c r="A83" s="2" t="s">
        <v>99</v>
      </c>
      <c r="B83" s="1"/>
      <c r="C83" s="7" t="str">
        <f>"(A.)"&amp;D82</f>
        <v>(A.)順風。</v>
      </c>
      <c r="D83" s="2"/>
      <c r="E83" s="2"/>
      <c r="F83" s="2"/>
      <c r="G83" s="2"/>
      <c r="H83" s="2"/>
      <c r="I83" s="2"/>
    </row>
    <row r="84" spans="1:9" s="3" customFormat="1" x14ac:dyDescent="0.3">
      <c r="A84" s="2"/>
      <c r="B84" s="1"/>
      <c r="C84" s="7" t="str">
        <f>"(B.)"&amp;E82</f>
        <v>(B.)側風。</v>
      </c>
      <c r="D84" s="2"/>
      <c r="E84" s="2"/>
      <c r="F84" s="2"/>
      <c r="G84" s="2"/>
      <c r="H84" s="2"/>
      <c r="I84" s="2"/>
    </row>
    <row r="85" spans="1:9" s="3" customFormat="1" x14ac:dyDescent="0.3">
      <c r="A85" s="2"/>
      <c r="B85" s="2"/>
      <c r="C85" s="7" t="str">
        <f>"(C.)"&amp;F82</f>
        <v>(C.)逆風。</v>
      </c>
      <c r="D85" s="2"/>
      <c r="E85" s="2"/>
      <c r="F85" s="2"/>
      <c r="G85" s="2"/>
      <c r="H85" s="2"/>
      <c r="I85" s="2"/>
    </row>
    <row r="86" spans="1:9" s="3" customFormat="1" x14ac:dyDescent="0.3">
      <c r="A86" s="2"/>
      <c r="B86" s="2"/>
      <c r="C86" s="7" t="str">
        <f>"(D.)"&amp;G82</f>
        <v>(D.)任何風向。</v>
      </c>
      <c r="D86" s="2"/>
      <c r="E86" s="2"/>
      <c r="F86" s="2"/>
      <c r="G86" s="2"/>
      <c r="H86" s="2"/>
      <c r="I86" s="2"/>
    </row>
    <row r="87" spans="1:9" s="3" customFormat="1" x14ac:dyDescent="0.3">
      <c r="A87" s="2"/>
      <c r="B87" s="2"/>
      <c r="C87" s="7" t="str">
        <f>"答案是： "&amp;IF(H82="A",C83,IF(H82="B",C84,IF(H82="C",C85,IF(H82=("D"),C86,"XXXX"))))</f>
        <v>答案是： (C.)逆風。</v>
      </c>
      <c r="D87" s="2"/>
      <c r="E87" s="2"/>
      <c r="F87" s="2"/>
      <c r="G87" s="2"/>
      <c r="H87" s="2"/>
      <c r="I87" s="2"/>
    </row>
    <row r="88" spans="1:9" s="3" customFormat="1" ht="75" x14ac:dyDescent="0.3">
      <c r="A88" s="2"/>
      <c r="B88" s="2"/>
      <c r="C88" s="7" t="str">
        <f>"說明："&amp;I82</f>
        <v>說明：在安全規範下，遙控無人機(尤其是定翼機)應盡量選擇在『逆風』狀態下起飛與降落。逆風能使航空器在較低的地面速度下獲得足夠的相對氣流(空速)以產生升力，縮短起降所需的滑行距離，並提供較佳的動態控制穩定性。</v>
      </c>
      <c r="D88" s="2"/>
      <c r="E88" s="2"/>
      <c r="F88" s="2"/>
      <c r="G88" s="2"/>
      <c r="H88" s="2"/>
      <c r="I88" s="2"/>
    </row>
    <row r="89" spans="1:9" s="3" customFormat="1" ht="45" x14ac:dyDescent="0.3">
      <c r="A89" s="4" t="str">
        <f>dB題庫!A20</f>
        <v>19</v>
      </c>
      <c r="B89" s="4" t="str">
        <f>dB題庫!B20</f>
        <v>遙控無人飛機於逆風下起飛，不會有以下哪種特性</v>
      </c>
      <c r="C89" s="4" t="str">
        <f t="shared" si="1"/>
        <v>19.遙控無人飛機於逆風下起飛，不會有以下哪種特性</v>
      </c>
      <c r="D89" s="4" t="str">
        <f>dB題庫!C20</f>
        <v>增加穩定性。</v>
      </c>
      <c r="E89" s="4" t="str">
        <f>dB題庫!D20</f>
        <v>增加操縱性。</v>
      </c>
      <c r="F89" s="4" t="str">
        <f>dB題庫!E20</f>
        <v>減少起飛距離。</v>
      </c>
      <c r="G89" s="4" t="str">
        <f>dB題庫!F20</f>
        <v>減少操縱性。</v>
      </c>
      <c r="H89" s="4" t="str">
        <f>dB題庫!G20</f>
        <v>D</v>
      </c>
      <c r="I89" s="4" t="str">
        <f>dB題庫!H20</f>
        <v>逆風起飛時，流經機翼與操縱面(副翼、升降舵等)的相對氣流速度較快，會顯著『增加穩定性與操縱性』，同時使得飛機能以極短的地面滑行距離離地(減少起飛距離)。因此，逆風起飛絕對『不會』發生減少操縱性的情況。</v>
      </c>
    </row>
    <row r="90" spans="1:9" s="3" customFormat="1" x14ac:dyDescent="0.3">
      <c r="A90" s="2" t="s">
        <v>99</v>
      </c>
      <c r="B90" s="1"/>
      <c r="C90" s="7" t="str">
        <f>"(A.)"&amp;D89</f>
        <v>(A.)增加穩定性。</v>
      </c>
      <c r="D90" s="2"/>
      <c r="E90" s="2"/>
      <c r="F90" s="2"/>
      <c r="G90" s="2"/>
      <c r="H90" s="2"/>
      <c r="I90" s="2"/>
    </row>
    <row r="91" spans="1:9" s="3" customFormat="1" x14ac:dyDescent="0.3">
      <c r="A91" s="2"/>
      <c r="B91" s="1"/>
      <c r="C91" s="7" t="str">
        <f>"(B.)"&amp;E89</f>
        <v>(B.)增加操縱性。</v>
      </c>
      <c r="D91" s="2"/>
      <c r="E91" s="2"/>
      <c r="F91" s="2"/>
      <c r="G91" s="2"/>
      <c r="H91" s="2"/>
      <c r="I91" s="2"/>
    </row>
    <row r="92" spans="1:9" s="3" customFormat="1" x14ac:dyDescent="0.3">
      <c r="A92" s="2"/>
      <c r="B92" s="2"/>
      <c r="C92" s="7" t="str">
        <f>"(C.)"&amp;F89</f>
        <v>(C.)減少起飛距離。</v>
      </c>
      <c r="D92" s="2"/>
      <c r="E92" s="2"/>
      <c r="F92" s="2"/>
      <c r="G92" s="2"/>
      <c r="H92" s="2"/>
      <c r="I92" s="2"/>
    </row>
    <row r="93" spans="1:9" s="3" customFormat="1" x14ac:dyDescent="0.3">
      <c r="A93" s="2"/>
      <c r="B93" s="2"/>
      <c r="C93" s="7" t="str">
        <f>"(D.)"&amp;G89</f>
        <v>(D.)減少操縱性。</v>
      </c>
      <c r="D93" s="2"/>
      <c r="E93" s="2"/>
      <c r="F93" s="2"/>
      <c r="G93" s="2"/>
      <c r="H93" s="2"/>
      <c r="I93" s="2"/>
    </row>
    <row r="94" spans="1:9" s="3" customFormat="1" x14ac:dyDescent="0.3">
      <c r="A94" s="2"/>
      <c r="B94" s="2"/>
      <c r="C94" s="7" t="str">
        <f>"答案是： "&amp;IF(H89="A",C90,IF(H89="B",C91,IF(H89="C",C92,IF(H89=("D"),C93,"XXXX"))))</f>
        <v>答案是： (D.)減少操縱性。</v>
      </c>
      <c r="D94" s="2"/>
      <c r="E94" s="2"/>
      <c r="F94" s="2"/>
      <c r="G94" s="2"/>
      <c r="H94" s="2"/>
      <c r="I94" s="2"/>
    </row>
    <row r="95" spans="1:9" s="3" customFormat="1" ht="75" x14ac:dyDescent="0.3">
      <c r="A95" s="2"/>
      <c r="B95" s="2"/>
      <c r="C95" s="7" t="str">
        <f>"說明："&amp;I89</f>
        <v>說明：逆風起飛時，流經機翼與操縱面(副翼、升降舵等)的相對氣流速度較快，會顯著『增加穩定性與操縱性』，同時使得飛機能以極短的地面滑行距離離地(減少起飛距離)。因此，逆風起飛絕對『不會』發生減少操縱性的情況。</v>
      </c>
      <c r="D95" s="2"/>
      <c r="E95" s="2"/>
      <c r="F95" s="2"/>
      <c r="G95" s="2"/>
      <c r="H95" s="2"/>
      <c r="I95" s="2"/>
    </row>
    <row r="96" spans="1:9" s="3" customFormat="1" ht="60" x14ac:dyDescent="0.3">
      <c r="A96" s="4" t="str">
        <f>dB題庫!A21</f>
        <v>20</v>
      </c>
      <c r="B96" s="4" t="str">
        <f>dB題庫!B21</f>
        <v>遙控無人機飛經下列哪個區域較易遭受亂流影響，且其亂流強度與周遭環境有密切關聯</v>
      </c>
      <c r="C96" s="4" t="str">
        <f t="shared" si="1"/>
        <v>20.遙控無人機飛經下列哪個區域較易遭受亂流影響，且其亂流強度與周遭環境有密切關聯</v>
      </c>
      <c r="D96" s="4" t="str">
        <f>dB題庫!C21</f>
        <v>大草原區。</v>
      </c>
      <c r="E96" s="4" t="str">
        <f>dB題庫!D21</f>
        <v>寬廣湖泊區。</v>
      </c>
      <c r="F96" s="4" t="str">
        <f>dB題庫!E21</f>
        <v>平坦操場上空。</v>
      </c>
      <c r="G96" s="4" t="str">
        <f>dB題庫!F21</f>
        <v>深山峽谷區。</v>
      </c>
      <c r="H96" s="4" t="str">
        <f>dB題庫!G21</f>
        <v>D</v>
      </c>
      <c r="I96" s="4" t="str">
        <f>dB題庫!H21</f>
        <v>『深山峽谷區』地形崎嶇起伏劇烈，當強風吹經山嶺、隘口時，受地形強制阻擋與擠壓，會產生嚴重的機械亂流、迴旋氣流及強烈的剪切風。此區域的亂流強度與風速大小、山勢走向有密切關聯，對無人機的穩定飛行威脅極大。</v>
      </c>
    </row>
    <row r="97" spans="1:9" s="3" customFormat="1" x14ac:dyDescent="0.3">
      <c r="A97" s="2" t="s">
        <v>99</v>
      </c>
      <c r="B97" s="1"/>
      <c r="C97" s="7" t="str">
        <f>"(A.)"&amp;D96</f>
        <v>(A.)大草原區。</v>
      </c>
      <c r="D97" s="2"/>
      <c r="E97" s="2"/>
      <c r="F97" s="2"/>
      <c r="G97" s="2"/>
      <c r="H97" s="2"/>
      <c r="I97" s="2"/>
    </row>
    <row r="98" spans="1:9" s="3" customFormat="1" x14ac:dyDescent="0.3">
      <c r="A98" s="2"/>
      <c r="B98" s="1"/>
      <c r="C98" s="7" t="str">
        <f>"(B.)"&amp;E96</f>
        <v>(B.)寬廣湖泊區。</v>
      </c>
      <c r="D98" s="2"/>
      <c r="E98" s="2"/>
      <c r="F98" s="2"/>
      <c r="G98" s="2"/>
      <c r="H98" s="2"/>
      <c r="I98" s="2"/>
    </row>
    <row r="99" spans="1:9" s="3" customFormat="1" x14ac:dyDescent="0.3">
      <c r="A99" s="2"/>
      <c r="B99" s="2"/>
      <c r="C99" s="7" t="str">
        <f>"(C.)"&amp;F96</f>
        <v>(C.)平坦操場上空。</v>
      </c>
      <c r="D99" s="2"/>
      <c r="E99" s="2"/>
      <c r="F99" s="2"/>
      <c r="G99" s="2"/>
      <c r="H99" s="2"/>
      <c r="I99" s="2"/>
    </row>
    <row r="100" spans="1:9" s="3" customFormat="1" x14ac:dyDescent="0.3">
      <c r="A100" s="2"/>
      <c r="B100" s="2"/>
      <c r="C100" s="7" t="str">
        <f>"(D.)"&amp;G96</f>
        <v>(D.)深山峽谷區。</v>
      </c>
      <c r="D100" s="2"/>
      <c r="E100" s="2"/>
      <c r="F100" s="2"/>
      <c r="G100" s="2"/>
      <c r="H100" s="2"/>
      <c r="I100" s="2"/>
    </row>
    <row r="101" spans="1:9" s="3" customFormat="1" x14ac:dyDescent="0.3">
      <c r="A101" s="2"/>
      <c r="B101" s="2"/>
      <c r="C101" s="7" t="str">
        <f>"答案是： "&amp;IF(H96="A",C97,IF(H96="B",C98,IF(H96="C",C99,IF(H96=("D"),C100,"XXXX"))))</f>
        <v>答案是： (D.)深山峽谷區。</v>
      </c>
      <c r="D101" s="2"/>
      <c r="E101" s="2"/>
      <c r="F101" s="2"/>
      <c r="G101" s="2"/>
      <c r="H101" s="2"/>
      <c r="I101" s="2"/>
    </row>
    <row r="102" spans="1:9" s="3" customFormat="1" ht="90" x14ac:dyDescent="0.3">
      <c r="A102" s="2"/>
      <c r="B102" s="2"/>
      <c r="C102" s="7" t="str">
        <f>"說明："&amp;I96</f>
        <v>說明：『深山峽谷區』地形崎嶇起伏劇烈，當強風吹經山嶺、隘口時，受地形強制阻擋與擠壓，會產生嚴重的機械亂流、迴旋氣流及強烈的剪切風。此區域的亂流強度與風速大小、山勢走向有密切關聯，對無人機的穩定飛行威脅極大。</v>
      </c>
      <c r="D102" s="2"/>
      <c r="E102" s="2"/>
      <c r="F102" s="2"/>
      <c r="G102" s="2"/>
      <c r="H102" s="2"/>
      <c r="I102" s="2"/>
    </row>
    <row r="103" spans="1:9" s="3" customFormat="1" ht="45" x14ac:dyDescent="0.3">
      <c r="A103" s="4" t="str">
        <f>dB題庫!A22</f>
        <v>21</v>
      </c>
      <c r="B103" s="4" t="str">
        <f>dB題庫!B22</f>
        <v>當越強勁的風吹過多山地區時,背風面的風場會如何變化</v>
      </c>
      <c r="C103" s="4" t="str">
        <f t="shared" si="1"/>
        <v>21.當越強勁的風吹過多山地區時,背風面的風場會如何變化</v>
      </c>
      <c r="D103" s="4" t="str">
        <f>dB題庫!C22</f>
        <v>漸趨平穩。</v>
      </c>
      <c r="E103" s="4" t="str">
        <f>dB題庫!D22</f>
        <v>有時平穩有時不平穩。</v>
      </c>
      <c r="F103" s="4" t="str">
        <f>dB題庫!E22</f>
        <v>漸趨不平穩。</v>
      </c>
      <c r="G103" s="4" t="str">
        <f>dB題庫!F22</f>
        <v>不變。</v>
      </c>
      <c r="H103" s="4" t="str">
        <f>dB題庫!G22</f>
        <v>C</v>
      </c>
      <c r="I103" s="4" t="str">
        <f>dB題庫!H22</f>
        <v>強風跨越山脈時，會在山脊後方(背風面)因地形阻擋形成劇烈的下沉氣流、渦流及山岳波，風速越強，背風面的風場越雜亂、越不平穩，是無人機飛行的高風險區。</v>
      </c>
    </row>
    <row r="104" spans="1:9" s="3" customFormat="1" x14ac:dyDescent="0.3">
      <c r="A104" s="2" t="s">
        <v>99</v>
      </c>
      <c r="B104" s="1"/>
      <c r="C104" s="7" t="str">
        <f>"(A.)"&amp;D103</f>
        <v>(A.)漸趨平穩。</v>
      </c>
      <c r="D104" s="2"/>
      <c r="E104" s="2"/>
      <c r="F104" s="2"/>
      <c r="G104" s="2"/>
      <c r="H104" s="2"/>
      <c r="I104" s="2"/>
    </row>
    <row r="105" spans="1:9" s="3" customFormat="1" x14ac:dyDescent="0.3">
      <c r="A105" s="2"/>
      <c r="B105" s="1"/>
      <c r="C105" s="7" t="str">
        <f>"(B.)"&amp;E103</f>
        <v>(B.)有時平穩有時不平穩。</v>
      </c>
      <c r="D105" s="2"/>
      <c r="E105" s="2"/>
      <c r="F105" s="2"/>
      <c r="G105" s="2"/>
      <c r="H105" s="2"/>
      <c r="I105" s="2"/>
    </row>
    <row r="106" spans="1:9" s="3" customFormat="1" x14ac:dyDescent="0.3">
      <c r="A106" s="2"/>
      <c r="B106" s="2"/>
      <c r="C106" s="7" t="str">
        <f>"(C.)"&amp;F103</f>
        <v>(C.)漸趨不平穩。</v>
      </c>
      <c r="D106" s="2"/>
      <c r="E106" s="2"/>
      <c r="F106" s="2"/>
      <c r="G106" s="2"/>
      <c r="H106" s="2"/>
      <c r="I106" s="2"/>
    </row>
    <row r="107" spans="1:9" s="3" customFormat="1" x14ac:dyDescent="0.3">
      <c r="A107" s="2"/>
      <c r="B107" s="2"/>
      <c r="C107" s="7" t="str">
        <f>"(D.)"&amp;G103</f>
        <v>(D.)不變。</v>
      </c>
      <c r="D107" s="2"/>
      <c r="E107" s="2"/>
      <c r="F107" s="2"/>
      <c r="G107" s="2"/>
      <c r="H107" s="2"/>
      <c r="I107" s="2"/>
    </row>
    <row r="108" spans="1:9" s="3" customFormat="1" x14ac:dyDescent="0.3">
      <c r="A108" s="2"/>
      <c r="B108" s="2"/>
      <c r="C108" s="7" t="str">
        <f>"答案是： "&amp;IF(H103="A",C104,IF(H103="B",C105,IF(H103="C",C106,IF(H103=("D"),C107,"XXXX"))))</f>
        <v>答案是： (C.)漸趨不平穩。</v>
      </c>
      <c r="D108" s="2"/>
      <c r="E108" s="2"/>
      <c r="F108" s="2"/>
      <c r="G108" s="2"/>
      <c r="H108" s="2"/>
      <c r="I108" s="2"/>
    </row>
    <row r="109" spans="1:9" s="3" customFormat="1" ht="60" x14ac:dyDescent="0.3">
      <c r="A109" s="2"/>
      <c r="B109" s="2"/>
      <c r="C109" s="7" t="str">
        <f>"說明："&amp;I103</f>
        <v>說明：強風跨越山脈時，會在山脊後方(背風面)因地形阻擋形成劇烈的下沉氣流、渦流及山岳波，風速越強，背風面的風場越雜亂、越不平穩，是無人機飛行的高風險區。</v>
      </c>
      <c r="D109" s="2"/>
      <c r="E109" s="2"/>
      <c r="F109" s="2"/>
      <c r="G109" s="2"/>
      <c r="H109" s="2"/>
      <c r="I109" s="2"/>
    </row>
    <row r="110" spans="1:9" s="3" customFormat="1" ht="45" x14ac:dyDescent="0.3">
      <c r="A110" s="4" t="str">
        <f>dB題庫!A23</f>
        <v>22</v>
      </c>
      <c r="B110" s="4" t="str">
        <f>dB題庫!B23</f>
        <v>遙控無人機飛航活動期間,可能於任何高度遭遇不同風切狀況,其中以哪一項對其操控性影響最大</v>
      </c>
      <c r="C110" s="4" t="str">
        <f t="shared" si="1"/>
        <v>22.遙控無人機飛航活動期間,可能於任何高度遭遇不同風切狀況,其中以哪一項對其操控性影響最大</v>
      </c>
      <c r="D110" s="4" t="str">
        <f>dB題庫!C23</f>
        <v>超高空風切。</v>
      </c>
      <c r="E110" s="4" t="str">
        <f>dB題庫!D23</f>
        <v>高空風切。</v>
      </c>
      <c r="F110" s="4" t="str">
        <f>dB題庫!E23</f>
        <v>向量風切。</v>
      </c>
      <c r="G110" s="4" t="str">
        <f>dB題庫!F23</f>
        <v>低空風切。</v>
      </c>
      <c r="H110" s="4" t="str">
        <f>dB題庫!G23</f>
        <v>D</v>
      </c>
      <c r="I110" s="4" t="str">
        <f>dB題庫!H23</f>
        <v>風切(Wind Shear)是指風向或風速在短距離內發生劇烈改變。由於無人機起飛與降落都在低空進行，此時飛行速度慢、高度低，緩衝空間不足，因此「低空風切」對操控性與飛航安全的衝擊最大。</v>
      </c>
    </row>
    <row r="111" spans="1:9" s="3" customFormat="1" x14ac:dyDescent="0.3">
      <c r="A111" s="2" t="s">
        <v>99</v>
      </c>
      <c r="B111" s="1"/>
      <c r="C111" s="7" t="str">
        <f>"(A.)"&amp;D110</f>
        <v>(A.)超高空風切。</v>
      </c>
      <c r="D111" s="2"/>
      <c r="E111" s="2"/>
      <c r="F111" s="2"/>
      <c r="G111" s="2"/>
      <c r="H111" s="2"/>
      <c r="I111" s="2"/>
    </row>
    <row r="112" spans="1:9" s="3" customFormat="1" x14ac:dyDescent="0.3">
      <c r="A112" s="2"/>
      <c r="B112" s="1"/>
      <c r="C112" s="7" t="str">
        <f>"(B.)"&amp;E110</f>
        <v>(B.)高空風切。</v>
      </c>
      <c r="D112" s="2"/>
      <c r="E112" s="2"/>
      <c r="F112" s="2"/>
      <c r="G112" s="2"/>
      <c r="H112" s="2"/>
      <c r="I112" s="2"/>
    </row>
    <row r="113" spans="1:9" s="3" customFormat="1" x14ac:dyDescent="0.3">
      <c r="A113" s="2"/>
      <c r="B113" s="2"/>
      <c r="C113" s="7" t="str">
        <f>"(C.)"&amp;F110</f>
        <v>(C.)向量風切。</v>
      </c>
      <c r="D113" s="2"/>
      <c r="E113" s="2"/>
      <c r="F113" s="2"/>
      <c r="G113" s="2"/>
      <c r="H113" s="2"/>
      <c r="I113" s="2"/>
    </row>
    <row r="114" spans="1:9" s="3" customFormat="1" x14ac:dyDescent="0.3">
      <c r="A114" s="2"/>
      <c r="B114" s="2"/>
      <c r="C114" s="7" t="str">
        <f>"(D.)"&amp;G110</f>
        <v>(D.)低空風切。</v>
      </c>
      <c r="D114" s="2"/>
      <c r="E114" s="2"/>
      <c r="F114" s="2"/>
      <c r="G114" s="2"/>
      <c r="H114" s="2"/>
      <c r="I114" s="2"/>
    </row>
    <row r="115" spans="1:9" s="3" customFormat="1" x14ac:dyDescent="0.3">
      <c r="A115" s="2"/>
      <c r="B115" s="2"/>
      <c r="C115" s="7" t="str">
        <f>"答案是： "&amp;IF(H110="A",C111,IF(H110="B",C112,IF(H110="C",C113,IF(H110=("D"),C114,"XXXX"))))</f>
        <v>答案是： (D.)低空風切。</v>
      </c>
      <c r="D115" s="2"/>
      <c r="E115" s="2"/>
      <c r="F115" s="2"/>
      <c r="G115" s="2"/>
      <c r="H115" s="2"/>
      <c r="I115" s="2"/>
    </row>
    <row r="116" spans="1:9" s="3" customFormat="1" ht="75" x14ac:dyDescent="0.3">
      <c r="A116" s="2"/>
      <c r="B116" s="2"/>
      <c r="C116" s="7" t="str">
        <f>"說明："&amp;I110</f>
        <v>說明：風切(Wind Shear)是指風向或風速在短距離內發生劇烈改變。由於無人機起飛與降落都在低空進行，此時飛行速度慢、高度低，緩衝空間不足，因此「低空風切」對操控性與飛航安全的衝擊最大。</v>
      </c>
      <c r="D116" s="2"/>
      <c r="E116" s="2"/>
      <c r="F116" s="2"/>
      <c r="G116" s="2"/>
      <c r="H116" s="2"/>
      <c r="I116" s="2"/>
    </row>
    <row r="117" spans="1:9" s="3" customFormat="1" ht="45" x14ac:dyDescent="0.3">
      <c r="A117" s="4" t="str">
        <f>dB題庫!A24</f>
        <v>23</v>
      </c>
      <c r="B117" s="4" t="str">
        <f>dB題庫!B24</f>
        <v>遙控無人機於起降階段突遇風速與風向之明顯改變,不會有下列哪種影響</v>
      </c>
      <c r="C117" s="4" t="str">
        <f t="shared" si="1"/>
        <v>23.遙控無人機於起降階段突遇風速與風向之明顯改變,不會有下列哪種影響</v>
      </c>
      <c r="D117" s="4" t="str">
        <f>dB題庫!C24</f>
        <v>飛行姿態改變。</v>
      </c>
      <c r="E117" s="4" t="str">
        <f>dB題庫!D24</f>
        <v>飛行軌跡改變。</v>
      </c>
      <c r="F117" s="4" t="str">
        <f>dB題庫!E24</f>
        <v>所獲升力改變。</v>
      </c>
      <c r="G117" s="4" t="str">
        <f>dB題庫!F24</f>
        <v>最大載重改變。</v>
      </c>
      <c r="H117" s="4" t="str">
        <f>dB題庫!G24</f>
        <v>D</v>
      </c>
      <c r="I117" s="4" t="str">
        <f>dB題庫!H24</f>
        <v>突發風切會立即改變無人機的相對空速與受力，進而引發飛行姿態晃動、航線軌跡偏離以及升力的瞬間增減。然而，無人機的「最大載重」(MTOW)是機體結構設計的固有物理上限，不受當前風向風速影響。</v>
      </c>
    </row>
    <row r="118" spans="1:9" s="3" customFormat="1" x14ac:dyDescent="0.3">
      <c r="A118" s="2" t="s">
        <v>99</v>
      </c>
      <c r="B118" s="1"/>
      <c r="C118" s="7" t="str">
        <f>"(A.)"&amp;D117</f>
        <v>(A.)飛行姿態改變。</v>
      </c>
      <c r="D118" s="2"/>
      <c r="E118" s="2"/>
      <c r="F118" s="2"/>
      <c r="G118" s="2"/>
      <c r="H118" s="2"/>
      <c r="I118" s="2"/>
    </row>
    <row r="119" spans="1:9" s="3" customFormat="1" x14ac:dyDescent="0.3">
      <c r="A119" s="2"/>
      <c r="B119" s="1"/>
      <c r="C119" s="7" t="str">
        <f>"(B.)"&amp;E117</f>
        <v>(B.)飛行軌跡改變。</v>
      </c>
      <c r="D119" s="2"/>
      <c r="E119" s="2"/>
      <c r="F119" s="2"/>
      <c r="G119" s="2"/>
      <c r="H119" s="2"/>
      <c r="I119" s="2"/>
    </row>
    <row r="120" spans="1:9" s="3" customFormat="1" x14ac:dyDescent="0.3">
      <c r="A120" s="2"/>
      <c r="B120" s="2"/>
      <c r="C120" s="7" t="str">
        <f>"(C.)"&amp;F117</f>
        <v>(C.)所獲升力改變。</v>
      </c>
      <c r="D120" s="2"/>
      <c r="E120" s="2"/>
      <c r="F120" s="2"/>
      <c r="G120" s="2"/>
      <c r="H120" s="2"/>
      <c r="I120" s="2"/>
    </row>
    <row r="121" spans="1:9" s="3" customFormat="1" x14ac:dyDescent="0.3">
      <c r="A121" s="2"/>
      <c r="B121" s="2"/>
      <c r="C121" s="7" t="str">
        <f>"(D.)"&amp;G117</f>
        <v>(D.)最大載重改變。</v>
      </c>
      <c r="D121" s="2"/>
      <c r="E121" s="2"/>
      <c r="F121" s="2"/>
      <c r="G121" s="2"/>
      <c r="H121" s="2"/>
      <c r="I121" s="2"/>
    </row>
    <row r="122" spans="1:9" s="3" customFormat="1" x14ac:dyDescent="0.3">
      <c r="A122" s="2"/>
      <c r="B122" s="2"/>
      <c r="C122" s="7" t="str">
        <f>"答案是： "&amp;IF(H117="A",C118,IF(H117="B",C119,IF(H117="C",C120,IF(H117=("D"),C121,"XXXX"))))</f>
        <v>答案是： (D.)最大載重改變。</v>
      </c>
      <c r="D122" s="2"/>
      <c r="E122" s="2"/>
      <c r="F122" s="2"/>
      <c r="G122" s="2"/>
      <c r="H122" s="2"/>
      <c r="I122" s="2"/>
    </row>
    <row r="123" spans="1:9" s="3" customFormat="1" ht="75" x14ac:dyDescent="0.3">
      <c r="A123" s="2"/>
      <c r="B123" s="2"/>
      <c r="C123" s="7" t="str">
        <f>"說明："&amp;I117</f>
        <v>說明：突發風切會立即改變無人機的相對空速與受力，進而引發飛行姿態晃動、航線軌跡偏離以及升力的瞬間增減。然而，無人機的「最大載重」(MTOW)是機體結構設計的固有物理上限，不受當前風向風速影響。</v>
      </c>
      <c r="D123" s="2"/>
      <c r="E123" s="2"/>
      <c r="F123" s="2"/>
      <c r="G123" s="2"/>
      <c r="H123" s="2"/>
      <c r="I123" s="2"/>
    </row>
    <row r="124" spans="1:9" s="3" customFormat="1" ht="75" x14ac:dyDescent="0.3">
      <c r="A124" s="4" t="str">
        <f>dB題庫!A25</f>
        <v>24</v>
      </c>
      <c r="B124" s="4" t="str">
        <f>dB題庫!B25</f>
        <v>下列針對發生於臺灣地區低空風切之敘述,何者較為正確</v>
      </c>
      <c r="C124" s="4" t="str">
        <f t="shared" si="1"/>
        <v>24.下列針對發生於臺灣地區低空風切之敘述,何者較為正確</v>
      </c>
      <c r="D124" s="4" t="str">
        <f>dB題庫!C25</f>
        <v>於鋒面過境時較為溫和,西南季風吹拂時較為強烈。</v>
      </c>
      <c r="E124" s="4" t="str">
        <f>dB題庫!D25</f>
        <v>於鋒面過境時較為強烈,西南季風吹拂時較為溫和。</v>
      </c>
      <c r="F124" s="4" t="str">
        <f>dB題庫!E25</f>
        <v>鋒面過境或西南季風吹拂時均為溫和。</v>
      </c>
      <c r="G124" s="4" t="str">
        <f>dB題庫!F25</f>
        <v>鋒面過境或西南季風吹拂時均為強烈。</v>
      </c>
      <c r="H124" s="4" t="str">
        <f>dB題庫!G25</f>
        <v>B</v>
      </c>
      <c r="I124" s="4" t="str">
        <f>dB題庫!H25</f>
        <v>臺灣的低空風切在鋒面系統(如春季梅雨鋒面、冬季冷鋒)過境時，冷暖氣團劇烈交會，風向風速切變強度極為強烈；而夏季常見的西南季風在無特殊地形干擾下，相較之下風切強度較為溫和平順。</v>
      </c>
    </row>
    <row r="125" spans="1:9" s="3" customFormat="1" ht="30" x14ac:dyDescent="0.3">
      <c r="A125" s="2" t="s">
        <v>99</v>
      </c>
      <c r="B125" s="1"/>
      <c r="C125" s="7" t="str">
        <f>"(A.)"&amp;D124</f>
        <v>(A.)於鋒面過境時較為溫和,西南季風吹拂時較為強烈。</v>
      </c>
      <c r="D125" s="2"/>
      <c r="E125" s="2"/>
      <c r="F125" s="2"/>
      <c r="G125" s="2"/>
      <c r="H125" s="2"/>
      <c r="I125" s="2"/>
    </row>
    <row r="126" spans="1:9" s="3" customFormat="1" ht="30" x14ac:dyDescent="0.3">
      <c r="A126" s="2"/>
      <c r="B126" s="1"/>
      <c r="C126" s="7" t="str">
        <f>"(B.)"&amp;E124</f>
        <v>(B.)於鋒面過境時較為強烈,西南季風吹拂時較為溫和。</v>
      </c>
      <c r="D126" s="2"/>
      <c r="E126" s="2"/>
      <c r="F126" s="2"/>
      <c r="G126" s="2"/>
      <c r="H126" s="2"/>
      <c r="I126" s="2"/>
    </row>
    <row r="127" spans="1:9" s="3" customFormat="1" x14ac:dyDescent="0.3">
      <c r="A127" s="2"/>
      <c r="B127" s="2"/>
      <c r="C127" s="7" t="str">
        <f>"(C.)"&amp;F124</f>
        <v>(C.)鋒面過境或西南季風吹拂時均為溫和。</v>
      </c>
      <c r="D127" s="2"/>
      <c r="E127" s="2"/>
      <c r="F127" s="2"/>
      <c r="G127" s="2"/>
      <c r="H127" s="2"/>
      <c r="I127" s="2"/>
    </row>
    <row r="128" spans="1:9" s="3" customFormat="1" x14ac:dyDescent="0.3">
      <c r="A128" s="2"/>
      <c r="B128" s="2"/>
      <c r="C128" s="7" t="str">
        <f>"(D.)"&amp;G124</f>
        <v>(D.)鋒面過境或西南季風吹拂時均為強烈。</v>
      </c>
      <c r="D128" s="2"/>
      <c r="E128" s="2"/>
      <c r="F128" s="2"/>
      <c r="G128" s="2"/>
      <c r="H128" s="2"/>
      <c r="I128" s="2"/>
    </row>
    <row r="129" spans="1:9" s="3" customFormat="1" ht="30" x14ac:dyDescent="0.3">
      <c r="A129" s="2"/>
      <c r="B129" s="2"/>
      <c r="C129" s="7" t="str">
        <f>"答案是： "&amp;IF(H124="A",C125,IF(H124="B",C126,IF(H124="C",C127,IF(H124=("D"),C128,"XXXX"))))</f>
        <v>答案是： (B.)於鋒面過境時較為強烈,西南季風吹拂時較為溫和。</v>
      </c>
      <c r="D129" s="2"/>
      <c r="E129" s="2"/>
      <c r="F129" s="2"/>
      <c r="G129" s="2"/>
      <c r="H129" s="2"/>
      <c r="I129" s="2"/>
    </row>
    <row r="130" spans="1:9" s="3" customFormat="1" ht="75" x14ac:dyDescent="0.3">
      <c r="A130" s="2"/>
      <c r="B130" s="2"/>
      <c r="C130" s="7" t="str">
        <f>"說明："&amp;I124</f>
        <v>說明：臺灣的低空風切在鋒面系統(如春季梅雨鋒面、冬季冷鋒)過境時，冷暖氣團劇烈交會，風向風速切變強度極為強烈；而夏季常見的西南季風在無特殊地形干擾下，相較之下風切強度較為溫和平順。</v>
      </c>
      <c r="D130" s="2"/>
      <c r="E130" s="2"/>
      <c r="F130" s="2"/>
      <c r="G130" s="2"/>
      <c r="H130" s="2"/>
      <c r="I130" s="2"/>
    </row>
    <row r="131" spans="1:9" s="3" customFormat="1" ht="45" x14ac:dyDescent="0.3">
      <c r="A131" s="4" t="str">
        <f>dB題庫!A26</f>
        <v>25</v>
      </c>
      <c r="B131" s="4" t="str">
        <f>dB題庫!B26</f>
        <v>遙控無人機操作人於操作前及操作時需隨時注意天氣狀況,因天氣因素可能對無人機產生何種影響</v>
      </c>
      <c r="C131" s="4" t="str">
        <f t="shared" si="1"/>
        <v>25.遙控無人機操作人於操作前及操作時需隨時注意天氣狀況,因天氣因素可能對無人機產生何種影響</v>
      </c>
      <c r="D131" s="4" t="str">
        <f>dB題庫!C26</f>
        <v>外觀美感。</v>
      </c>
      <c r="E131" s="4" t="str">
        <f>dB題庫!D26</f>
        <v>飛行航向。</v>
      </c>
      <c r="F131" s="4" t="str">
        <f>dB題庫!E26</f>
        <v>品牌知名度。</v>
      </c>
      <c r="G131" s="4" t="str">
        <f>dB題庫!F26</f>
        <v>重量大小。</v>
      </c>
      <c r="H131" s="4" t="str">
        <f>dB題庫!G26</f>
        <v>B</v>
      </c>
      <c r="I131" s="4" t="str">
        <f>dB題庫!H26</f>
        <v>突如其來的強風、亂流與氣流切變會直接施力於無人機上，迫使其偏離預定的飛行軌道與「飛行航向」。操作人必須隨時監視天氣狀況以維持飛機姿態與安全。</v>
      </c>
    </row>
    <row r="132" spans="1:9" s="3" customFormat="1" x14ac:dyDescent="0.3">
      <c r="A132" s="2" t="s">
        <v>99</v>
      </c>
      <c r="B132" s="1"/>
      <c r="C132" s="7" t="str">
        <f>"(A.)"&amp;D131</f>
        <v>(A.)外觀美感。</v>
      </c>
      <c r="D132" s="2"/>
      <c r="E132" s="2"/>
      <c r="F132" s="2"/>
      <c r="G132" s="2"/>
      <c r="H132" s="2"/>
      <c r="I132" s="2"/>
    </row>
    <row r="133" spans="1:9" s="3" customFormat="1" x14ac:dyDescent="0.3">
      <c r="A133" s="2"/>
      <c r="B133" s="1"/>
      <c r="C133" s="7" t="str">
        <f>"(B.)"&amp;E131</f>
        <v>(B.)飛行航向。</v>
      </c>
      <c r="D133" s="2"/>
      <c r="E133" s="2"/>
      <c r="F133" s="2"/>
      <c r="G133" s="2"/>
      <c r="H133" s="2"/>
      <c r="I133" s="2"/>
    </row>
    <row r="134" spans="1:9" s="3" customFormat="1" x14ac:dyDescent="0.3">
      <c r="A134" s="2"/>
      <c r="B134" s="2"/>
      <c r="C134" s="7" t="str">
        <f>"(C.)"&amp;F131</f>
        <v>(C.)品牌知名度。</v>
      </c>
      <c r="D134" s="2"/>
      <c r="E134" s="2"/>
      <c r="F134" s="2"/>
      <c r="G134" s="2"/>
      <c r="H134" s="2"/>
      <c r="I134" s="2"/>
    </row>
    <row r="135" spans="1:9" s="3" customFormat="1" x14ac:dyDescent="0.3">
      <c r="A135" s="2"/>
      <c r="B135" s="2"/>
      <c r="C135" s="7" t="str">
        <f>"(D.)"&amp;G131</f>
        <v>(D.)重量大小。</v>
      </c>
      <c r="D135" s="2"/>
      <c r="E135" s="2"/>
      <c r="F135" s="2"/>
      <c r="G135" s="2"/>
      <c r="H135" s="2"/>
      <c r="I135" s="2"/>
    </row>
    <row r="136" spans="1:9" s="3" customFormat="1" x14ac:dyDescent="0.3">
      <c r="A136" s="2"/>
      <c r="B136" s="2"/>
      <c r="C136" s="7" t="str">
        <f>"答案是： "&amp;IF(H131="A",C132,IF(H131="B",C133,IF(H131="C",C134,IF(H131=("D"),C135,"XXXX"))))</f>
        <v>答案是： (B.)飛行航向。</v>
      </c>
      <c r="D136" s="2"/>
      <c r="E136" s="2"/>
      <c r="F136" s="2"/>
      <c r="G136" s="2"/>
      <c r="H136" s="2"/>
      <c r="I136" s="2"/>
    </row>
    <row r="137" spans="1:9" s="3" customFormat="1" ht="60" x14ac:dyDescent="0.3">
      <c r="A137" s="2"/>
      <c r="B137" s="2"/>
      <c r="C137" s="7" t="str">
        <f>"說明："&amp;I131</f>
        <v>說明：突如其來的強風、亂流與氣流切變會直接施力於無人機上，迫使其偏離預定的飛行軌道與「飛行航向」。操作人必須隨時監視天氣狀況以維持飛機姿態與安全。</v>
      </c>
      <c r="D137" s="2"/>
      <c r="E137" s="2"/>
      <c r="F137" s="2"/>
      <c r="G137" s="2"/>
      <c r="H137" s="2"/>
      <c r="I137" s="2"/>
    </row>
    <row r="138" spans="1:9" s="3" customFormat="1" ht="45" x14ac:dyDescent="0.3">
      <c r="A138" s="4" t="str">
        <f>dB題庫!A27</f>
        <v>26</v>
      </c>
      <c r="B138" s="4" t="str">
        <f>dB題庫!B27</f>
        <v>下列種天氣現象,與大氣垂直運動無直接關係</v>
      </c>
      <c r="C138" s="4" t="str">
        <f t="shared" si="1"/>
        <v>26.下列種天氣現象,與大氣垂直運動無直接關係</v>
      </c>
      <c r="D138" s="4" t="str">
        <f>dB題庫!C27</f>
        <v>雷雨。</v>
      </c>
      <c r="E138" s="4" t="str">
        <f>dB題庫!D27</f>
        <v>平流霧。</v>
      </c>
      <c r="F138" s="4" t="str">
        <f>dB題庫!E27</f>
        <v>冰雹。</v>
      </c>
      <c r="G138" s="4" t="str">
        <f>dB題庫!F27</f>
        <v>下爆氣流。</v>
      </c>
      <c r="H138" s="4" t="str">
        <f>dB題庫!G27</f>
        <v>B</v>
      </c>
      <c r="I138" s="4" t="str">
        <f>dB題庫!H27</f>
        <v>雷雨、冰雹與下爆氣流均是由強烈的大氣對流及垂直運動(上升或下沉氣流)所引起。而「平流霧」是暖濕空氣水平移動至較冷的地表或水面上凝結而成，其核心驅動力是水平運動而非垂直運動。</v>
      </c>
    </row>
    <row r="139" spans="1:9" s="3" customFormat="1" x14ac:dyDescent="0.3">
      <c r="A139" s="2" t="s">
        <v>99</v>
      </c>
      <c r="B139" s="1"/>
      <c r="C139" s="7" t="str">
        <f>"(A.)"&amp;D138</f>
        <v>(A.)雷雨。</v>
      </c>
      <c r="D139" s="2"/>
      <c r="E139" s="2"/>
      <c r="F139" s="2"/>
      <c r="G139" s="2"/>
      <c r="H139" s="2"/>
      <c r="I139" s="2"/>
    </row>
    <row r="140" spans="1:9" s="3" customFormat="1" x14ac:dyDescent="0.3">
      <c r="A140" s="2"/>
      <c r="B140" s="1"/>
      <c r="C140" s="7" t="str">
        <f>"(B.)"&amp;E138</f>
        <v>(B.)平流霧。</v>
      </c>
      <c r="D140" s="2"/>
      <c r="E140" s="2"/>
      <c r="F140" s="2"/>
      <c r="G140" s="2"/>
      <c r="H140" s="2"/>
      <c r="I140" s="2"/>
    </row>
    <row r="141" spans="1:9" s="3" customFormat="1" x14ac:dyDescent="0.3">
      <c r="A141" s="2"/>
      <c r="B141" s="2"/>
      <c r="C141" s="7" t="str">
        <f>"(C.)"&amp;F138</f>
        <v>(C.)冰雹。</v>
      </c>
      <c r="D141" s="2"/>
      <c r="E141" s="2"/>
      <c r="F141" s="2"/>
      <c r="G141" s="2"/>
      <c r="H141" s="2"/>
      <c r="I141" s="2"/>
    </row>
    <row r="142" spans="1:9" s="3" customFormat="1" x14ac:dyDescent="0.3">
      <c r="A142" s="2"/>
      <c r="B142" s="2"/>
      <c r="C142" s="7" t="str">
        <f>"(D.)"&amp;G138</f>
        <v>(D.)下爆氣流。</v>
      </c>
      <c r="D142" s="2"/>
      <c r="E142" s="2"/>
      <c r="F142" s="2"/>
      <c r="G142" s="2"/>
      <c r="H142" s="2"/>
      <c r="I142" s="2"/>
    </row>
    <row r="143" spans="1:9" s="3" customFormat="1" x14ac:dyDescent="0.3">
      <c r="A143" s="2"/>
      <c r="B143" s="2"/>
      <c r="C143" s="7" t="str">
        <f>"答案是： "&amp;IF(H138="A",C139,IF(H138="B",C140,IF(H138="C",C141,IF(H138=("D"),C142,"XXXX"))))</f>
        <v>答案是： (B.)平流霧。</v>
      </c>
      <c r="D143" s="2"/>
      <c r="E143" s="2"/>
      <c r="F143" s="2"/>
      <c r="G143" s="2"/>
      <c r="H143" s="2"/>
      <c r="I143" s="2"/>
    </row>
    <row r="144" spans="1:9" s="3" customFormat="1" ht="75" x14ac:dyDescent="0.3">
      <c r="A144" s="2"/>
      <c r="B144" s="2"/>
      <c r="C144" s="7" t="str">
        <f>"說明："&amp;I138</f>
        <v>說明：雷雨、冰雹與下爆氣流均是由強烈的大氣對流及垂直運動(上升或下沉氣流)所引起。而「平流霧」是暖濕空氣水平移動至較冷的地表或水面上凝結而成，其核心驅動力是水平運動而非垂直運動。</v>
      </c>
      <c r="D144" s="2"/>
      <c r="E144" s="2"/>
      <c r="F144" s="2"/>
      <c r="G144" s="2"/>
      <c r="H144" s="2"/>
      <c r="I144" s="2"/>
    </row>
    <row r="145" spans="1:9" s="3" customFormat="1" ht="30" x14ac:dyDescent="0.3">
      <c r="A145" s="4" t="str">
        <f>dB題庫!A28</f>
        <v>27</v>
      </c>
      <c r="B145" s="4" t="str">
        <f>dB題庫!B28</f>
        <v>大氣穩定度與下列何項因子有直接關係</v>
      </c>
      <c r="C145" s="4" t="str">
        <f t="shared" si="1"/>
        <v>27.大氣穩定度與下列何項因子有直接關係</v>
      </c>
      <c r="D145" s="4" t="str">
        <f>dB題庫!C28</f>
        <v>空氣流動方向。</v>
      </c>
      <c r="E145" s="4" t="str">
        <f>dB題庫!D28</f>
        <v>空氣中懸浮微粒大小。</v>
      </c>
      <c r="F145" s="4" t="str">
        <f>dB題庫!E28</f>
        <v>水氣飽和程度。</v>
      </c>
      <c r="G145" s="4" t="str">
        <f>dB題庫!F28</f>
        <v>空氣乾燥程度。</v>
      </c>
      <c r="H145" s="4" t="str">
        <f>dB題庫!G28</f>
        <v>A</v>
      </c>
      <c r="I145" s="4" t="str">
        <f>dB題庫!H28</f>
        <v>大氣穩定度決定了空氣塊抗拒垂直運動的能力。大氣穩定度與空氣的垂直與水平運動、即「空氣流動方向」具備最直接的關聯性。</v>
      </c>
    </row>
    <row r="146" spans="1:9" s="3" customFormat="1" x14ac:dyDescent="0.3">
      <c r="A146" s="2" t="s">
        <v>99</v>
      </c>
      <c r="B146" s="1"/>
      <c r="C146" s="7" t="str">
        <f>"(A.)"&amp;D145</f>
        <v>(A.)空氣流動方向。</v>
      </c>
      <c r="D146" s="2"/>
      <c r="E146" s="2"/>
      <c r="F146" s="2"/>
      <c r="G146" s="2"/>
      <c r="H146" s="2"/>
      <c r="I146" s="2"/>
    </row>
    <row r="147" spans="1:9" s="3" customFormat="1" x14ac:dyDescent="0.3">
      <c r="A147" s="2"/>
      <c r="B147" s="1"/>
      <c r="C147" s="7" t="str">
        <f>"(B.)"&amp;E145</f>
        <v>(B.)空氣中懸浮微粒大小。</v>
      </c>
      <c r="D147" s="2"/>
      <c r="E147" s="2"/>
      <c r="F147" s="2"/>
      <c r="G147" s="2"/>
      <c r="H147" s="2"/>
      <c r="I147" s="2"/>
    </row>
    <row r="148" spans="1:9" s="3" customFormat="1" x14ac:dyDescent="0.3">
      <c r="A148" s="2"/>
      <c r="B148" s="2"/>
      <c r="C148" s="7" t="str">
        <f>"(C.)"&amp;F145</f>
        <v>(C.)水氣飽和程度。</v>
      </c>
      <c r="D148" s="2"/>
      <c r="E148" s="2"/>
      <c r="F148" s="2"/>
      <c r="G148" s="2"/>
      <c r="H148" s="2"/>
      <c r="I148" s="2"/>
    </row>
    <row r="149" spans="1:9" s="3" customFormat="1" x14ac:dyDescent="0.3">
      <c r="A149" s="2"/>
      <c r="B149" s="2"/>
      <c r="C149" s="7" t="str">
        <f>"(D.)"&amp;G145</f>
        <v>(D.)空氣乾燥程度。</v>
      </c>
      <c r="D149" s="2"/>
      <c r="E149" s="2"/>
      <c r="F149" s="2"/>
      <c r="G149" s="2"/>
      <c r="H149" s="2"/>
      <c r="I149" s="2"/>
    </row>
    <row r="150" spans="1:9" s="3" customFormat="1" x14ac:dyDescent="0.3">
      <c r="A150" s="2"/>
      <c r="B150" s="2"/>
      <c r="C150" s="7" t="str">
        <f>"答案是： "&amp;IF(H145="A",C146,IF(H145="B",C147,IF(H145="C",C148,IF(H145=("D"),C149,"XXXX"))))</f>
        <v>答案是： (A.)空氣流動方向。</v>
      </c>
      <c r="D150" s="2"/>
      <c r="E150" s="2"/>
      <c r="F150" s="2"/>
      <c r="G150" s="2"/>
      <c r="H150" s="2"/>
      <c r="I150" s="2"/>
    </row>
    <row r="151" spans="1:9" s="3" customFormat="1" ht="60" x14ac:dyDescent="0.3">
      <c r="A151" s="2"/>
      <c r="B151" s="2"/>
      <c r="C151" s="7" t="str">
        <f>"說明："&amp;I145</f>
        <v>說明：大氣穩定度決定了空氣塊抗拒垂直運動的能力。大氣穩定度與空氣的垂直與水平運動、即「空氣流動方向」具備最直接的關聯性。</v>
      </c>
      <c r="D151" s="2"/>
      <c r="E151" s="2"/>
      <c r="F151" s="2"/>
      <c r="G151" s="2"/>
      <c r="H151" s="2"/>
      <c r="I151" s="2"/>
    </row>
    <row r="152" spans="1:9" s="3" customFormat="1" ht="45" x14ac:dyDescent="0.3">
      <c r="A152" s="4" t="str">
        <f>dB題庫!A29</f>
        <v>28</v>
      </c>
      <c r="B152" s="4" t="str">
        <f>dB題庫!B29</f>
        <v>於地球表面某特殊地區所生成,具停留時間長且其水平方向之物理性質(如溫度及濕度)等均為一致之廣大空氣體,稱之</v>
      </c>
      <c r="C152" s="4" t="str">
        <f t="shared" si="1"/>
        <v>28.於地球表面某特殊地區所生成,具停留時間長且其水平方向之物理性質(如溫度及濕度)等均為一致之廣大空氣體,稱之</v>
      </c>
      <c r="D152" s="4" t="str">
        <f>dB題庫!C29</f>
        <v>鋒面。</v>
      </c>
      <c r="E152" s="4" t="str">
        <f>dB題庫!D29</f>
        <v>氣團。</v>
      </c>
      <c r="F152" s="4" t="str">
        <f>dB題庫!E29</f>
        <v>颶風。</v>
      </c>
      <c r="G152" s="4" t="str">
        <f>dB題庫!F29</f>
        <v>塔狀積雲。</v>
      </c>
      <c r="H152" s="4" t="str">
        <f>dB題庫!G29</f>
        <v>B</v>
      </c>
      <c r="I152" s="4" t="str">
        <f>dB題庫!H29</f>
        <v>氣團(Air Mass)的氣象學定義即為：在廣闊的地表區域(如西伯利亞源地、太平洋源地)長期停留，使得內部水平方向之溫度、濕度與穩定度等物理性質分布極為均勻的龐大空氣塊。</v>
      </c>
    </row>
    <row r="153" spans="1:9" s="3" customFormat="1" x14ac:dyDescent="0.3">
      <c r="A153" s="2" t="s">
        <v>99</v>
      </c>
      <c r="B153" s="1"/>
      <c r="C153" s="7" t="str">
        <f>"(A.)"&amp;D152</f>
        <v>(A.)鋒面。</v>
      </c>
      <c r="D153" s="2"/>
      <c r="E153" s="2"/>
      <c r="F153" s="2"/>
      <c r="G153" s="2"/>
      <c r="H153" s="2"/>
      <c r="I153" s="2"/>
    </row>
    <row r="154" spans="1:9" s="3" customFormat="1" x14ac:dyDescent="0.3">
      <c r="A154" s="2"/>
      <c r="B154" s="1"/>
      <c r="C154" s="7" t="str">
        <f>"(B.)"&amp;E152</f>
        <v>(B.)氣團。</v>
      </c>
      <c r="D154" s="2"/>
      <c r="E154" s="2"/>
      <c r="F154" s="2"/>
      <c r="G154" s="2"/>
      <c r="H154" s="2"/>
      <c r="I154" s="2"/>
    </row>
    <row r="155" spans="1:9" s="3" customFormat="1" x14ac:dyDescent="0.3">
      <c r="A155" s="2"/>
      <c r="B155" s="2"/>
      <c r="C155" s="7" t="str">
        <f>"(C.)"&amp;F152</f>
        <v>(C.)颶風。</v>
      </c>
      <c r="D155" s="2"/>
      <c r="E155" s="2"/>
      <c r="F155" s="2"/>
      <c r="G155" s="2"/>
      <c r="H155" s="2"/>
      <c r="I155" s="2"/>
    </row>
    <row r="156" spans="1:9" s="3" customFormat="1" x14ac:dyDescent="0.3">
      <c r="A156" s="2"/>
      <c r="B156" s="2"/>
      <c r="C156" s="7" t="str">
        <f>"(D.)"&amp;G152</f>
        <v>(D.)塔狀積雲。</v>
      </c>
      <c r="D156" s="2"/>
      <c r="E156" s="2"/>
      <c r="F156" s="2"/>
      <c r="G156" s="2"/>
      <c r="H156" s="2"/>
      <c r="I156" s="2"/>
    </row>
    <row r="157" spans="1:9" s="3" customFormat="1" x14ac:dyDescent="0.3">
      <c r="A157" s="2"/>
      <c r="B157" s="2"/>
      <c r="C157" s="7" t="str">
        <f>"答案是： "&amp;IF(H152="A",C153,IF(H152="B",C154,IF(H152="C",C155,IF(H152=("D"),C156,"XXXX"))))</f>
        <v>答案是： (B.)氣團。</v>
      </c>
      <c r="D157" s="2"/>
      <c r="E157" s="2"/>
      <c r="F157" s="2"/>
      <c r="G157" s="2"/>
      <c r="H157" s="2"/>
      <c r="I157" s="2"/>
    </row>
    <row r="158" spans="1:9" s="3" customFormat="1" ht="60" x14ac:dyDescent="0.3">
      <c r="A158" s="2"/>
      <c r="B158" s="2"/>
      <c r="C158" s="7" t="str">
        <f>"說明："&amp;I152</f>
        <v>說明：氣團(Air Mass)的氣象學定義即為：在廣闊的地表區域(如西伯利亞源地、太平洋源地)長期停留，使得內部水平方向之溫度、濕度與穩定度等物理性質分布極為均勻的龐大空氣塊。</v>
      </c>
      <c r="D158" s="2"/>
      <c r="E158" s="2"/>
      <c r="F158" s="2"/>
      <c r="G158" s="2"/>
      <c r="H158" s="2"/>
      <c r="I158" s="2"/>
    </row>
    <row r="159" spans="1:9" s="3" customFormat="1" ht="45" x14ac:dyDescent="0.3">
      <c r="A159" s="4" t="str">
        <f>dB題庫!A30</f>
        <v>29</v>
      </c>
      <c r="B159" s="4" t="str">
        <f>dB題庫!B30</f>
        <v>下列哪個城市所處位置之氣候條件,較易發生午後雷陣雨</v>
      </c>
      <c r="C159" s="4" t="str">
        <f t="shared" si="1"/>
        <v>29.下列哪個城市所處位置之氣候條件,較易發生午後雷陣雨</v>
      </c>
      <c r="D159" s="4" t="str">
        <f>dB題庫!C30</f>
        <v>東京。</v>
      </c>
      <c r="E159" s="4" t="str">
        <f>dB題庫!D30</f>
        <v>新加坡。</v>
      </c>
      <c r="F159" s="4" t="str">
        <f>dB題庫!E30</f>
        <v>莫斯科。</v>
      </c>
      <c r="G159" s="4" t="str">
        <f>dB題庫!F30</f>
        <v>倫敦。</v>
      </c>
      <c r="H159" s="4" t="str">
        <f>dB題庫!G30</f>
        <v>B</v>
      </c>
      <c r="I159" s="4" t="str">
        <f>dB題庫!H30</f>
        <v>「新加坡」位於赤道熱帶雨林氣候區，常年高溫多雨。白天陽光強烈照射地表，使得近地面空氣迅速受熱膨脹上升，極易在午後觸發強烈的熱對流，形成午後雷陣雨。</v>
      </c>
    </row>
    <row r="160" spans="1:9" s="3" customFormat="1" x14ac:dyDescent="0.3">
      <c r="A160" s="2" t="s">
        <v>99</v>
      </c>
      <c r="B160" s="1"/>
      <c r="C160" s="7" t="str">
        <f>"(A.)"&amp;D159</f>
        <v>(A.)東京。</v>
      </c>
      <c r="D160" s="2"/>
      <c r="E160" s="2"/>
      <c r="F160" s="2"/>
      <c r="G160" s="2"/>
      <c r="H160" s="2"/>
      <c r="I160" s="2"/>
    </row>
    <row r="161" spans="1:9" s="3" customFormat="1" x14ac:dyDescent="0.3">
      <c r="A161" s="2"/>
      <c r="B161" s="1"/>
      <c r="C161" s="7" t="str">
        <f>"(B.)"&amp;E159</f>
        <v>(B.)新加坡。</v>
      </c>
      <c r="D161" s="2"/>
      <c r="E161" s="2"/>
      <c r="F161" s="2"/>
      <c r="G161" s="2"/>
      <c r="H161" s="2"/>
      <c r="I161" s="2"/>
    </row>
    <row r="162" spans="1:9" s="3" customFormat="1" x14ac:dyDescent="0.3">
      <c r="A162" s="2"/>
      <c r="B162" s="2"/>
      <c r="C162" s="7" t="str">
        <f>"(C.)"&amp;F159</f>
        <v>(C.)莫斯科。</v>
      </c>
      <c r="D162" s="2"/>
      <c r="E162" s="2"/>
      <c r="F162" s="2"/>
      <c r="G162" s="2"/>
      <c r="H162" s="2"/>
      <c r="I162" s="2"/>
    </row>
    <row r="163" spans="1:9" s="3" customFormat="1" x14ac:dyDescent="0.3">
      <c r="A163" s="2"/>
      <c r="B163" s="2"/>
      <c r="C163" s="7" t="str">
        <f>"(D.)"&amp;G159</f>
        <v>(D.)倫敦。</v>
      </c>
      <c r="D163" s="2"/>
      <c r="E163" s="2"/>
      <c r="F163" s="2"/>
      <c r="G163" s="2"/>
      <c r="H163" s="2"/>
      <c r="I163" s="2"/>
    </row>
    <row r="164" spans="1:9" s="3" customFormat="1" x14ac:dyDescent="0.3">
      <c r="A164" s="2"/>
      <c r="B164" s="2"/>
      <c r="C164" s="7" t="str">
        <f>"答案是： "&amp;IF(H159="A",C160,IF(H159="B",C161,IF(H159="C",C162,IF(H159=("D"),C163,"XXXX"))))</f>
        <v>答案是： (B.)新加坡。</v>
      </c>
      <c r="D164" s="2"/>
      <c r="E164" s="2"/>
      <c r="F164" s="2"/>
      <c r="G164" s="2"/>
      <c r="H164" s="2"/>
      <c r="I164" s="2"/>
    </row>
    <row r="165" spans="1:9" s="3" customFormat="1" ht="60" x14ac:dyDescent="0.3">
      <c r="A165" s="2"/>
      <c r="B165" s="2"/>
      <c r="C165" s="7" t="str">
        <f>"說明："&amp;I159</f>
        <v>說明：「新加坡」位於赤道熱帶雨林氣候區，常年高溫多雨。白天陽光強烈照射地表，使得近地面空氣迅速受熱膨脹上升，極易在午後觸發強烈的熱對流，形成午後雷陣雨。</v>
      </c>
      <c r="D165" s="2"/>
      <c r="E165" s="2"/>
      <c r="F165" s="2"/>
      <c r="G165" s="2"/>
      <c r="H165" s="2"/>
      <c r="I165" s="2"/>
    </row>
    <row r="166" spans="1:9" s="3" customFormat="1" ht="30" x14ac:dyDescent="0.3">
      <c r="A166" s="4" t="str">
        <f>dB題庫!A31</f>
        <v>30</v>
      </c>
      <c r="B166" s="4" t="str">
        <f>dB題庫!B31</f>
        <v>一定量空氣於一定溫度下,所能容納之下列何者亦有其限度</v>
      </c>
      <c r="C166" s="4" t="str">
        <f t="shared" si="1"/>
        <v>30.一定量空氣於一定溫度下,所能容納之下列何者亦有其限度</v>
      </c>
      <c r="D166" s="4" t="str">
        <f>dB題庫!C31</f>
        <v>PM2.5</v>
      </c>
      <c r="E166" s="4" t="str">
        <f>dB題庫!D31</f>
        <v>微生物。</v>
      </c>
      <c r="F166" s="4" t="str">
        <f>dB題庫!E31</f>
        <v>水氣量。</v>
      </c>
      <c r="G166" s="4" t="str">
        <f>dB題庫!F31</f>
        <v>細菌。</v>
      </c>
      <c r="H166" s="4" t="str">
        <f>dB題庫!G31</f>
        <v>C</v>
      </c>
      <c r="I166" s="4" t="str">
        <f>dB題庫!H31</f>
        <v>空氣所能包含的水蒸氣(水氣)並非無限。在特定的溫度下，單位體積空氣所能容納的水氣量存在一個物理上限(即飽和水氣壓)，達到上限即為飽和。</v>
      </c>
    </row>
    <row r="167" spans="1:9" s="3" customFormat="1" x14ac:dyDescent="0.3">
      <c r="A167" s="2" t="s">
        <v>99</v>
      </c>
      <c r="B167" s="1"/>
      <c r="C167" s="7" t="str">
        <f>"(A.)"&amp;D166</f>
        <v>(A.)PM2.5</v>
      </c>
      <c r="D167" s="2"/>
      <c r="E167" s="2"/>
      <c r="F167" s="2"/>
      <c r="G167" s="2"/>
      <c r="H167" s="2"/>
      <c r="I167" s="2"/>
    </row>
    <row r="168" spans="1:9" s="3" customFormat="1" x14ac:dyDescent="0.3">
      <c r="A168" s="2"/>
      <c r="B168" s="1"/>
      <c r="C168" s="7" t="str">
        <f>"(B.)"&amp;E166</f>
        <v>(B.)微生物。</v>
      </c>
      <c r="D168" s="2"/>
      <c r="E168" s="2"/>
      <c r="F168" s="2"/>
      <c r="G168" s="2"/>
      <c r="H168" s="2"/>
      <c r="I168" s="2"/>
    </row>
    <row r="169" spans="1:9" s="3" customFormat="1" x14ac:dyDescent="0.3">
      <c r="A169" s="2"/>
      <c r="B169" s="2"/>
      <c r="C169" s="7" t="str">
        <f>"(C.)"&amp;F166</f>
        <v>(C.)水氣量。</v>
      </c>
      <c r="D169" s="2"/>
      <c r="E169" s="2"/>
      <c r="F169" s="2"/>
      <c r="G169" s="2"/>
      <c r="H169" s="2"/>
      <c r="I169" s="2"/>
    </row>
    <row r="170" spans="1:9" s="3" customFormat="1" x14ac:dyDescent="0.3">
      <c r="A170" s="2"/>
      <c r="B170" s="2"/>
      <c r="C170" s="7" t="str">
        <f>"(D.)"&amp;G166</f>
        <v>(D.)細菌。</v>
      </c>
      <c r="D170" s="2"/>
      <c r="E170" s="2"/>
      <c r="F170" s="2"/>
      <c r="G170" s="2"/>
      <c r="H170" s="2"/>
      <c r="I170" s="2"/>
    </row>
    <row r="171" spans="1:9" s="3" customFormat="1" x14ac:dyDescent="0.3">
      <c r="A171" s="2"/>
      <c r="B171" s="2"/>
      <c r="C171" s="7" t="str">
        <f>"答案是： "&amp;IF(H166="A",C167,IF(H166="B",C168,IF(H166="C",C169,IF(H166=("D"),C170,"XXXX"))))</f>
        <v>答案是： (C.)水氣量。</v>
      </c>
      <c r="D171" s="2"/>
      <c r="E171" s="2"/>
      <c r="F171" s="2"/>
      <c r="G171" s="2"/>
      <c r="H171" s="2"/>
      <c r="I171" s="2"/>
    </row>
    <row r="172" spans="1:9" s="3" customFormat="1" ht="60" x14ac:dyDescent="0.3">
      <c r="A172" s="2"/>
      <c r="B172" s="2"/>
      <c r="C172" s="7" t="str">
        <f>"說明："&amp;I166</f>
        <v>說明：空氣所能包含的水蒸氣(水氣)並非無限。在特定的溫度下，單位體積空氣所能容納的水氣量存在一個物理上限(即飽和水氣壓)，達到上限即為飽和。</v>
      </c>
      <c r="D172" s="2"/>
      <c r="E172" s="2"/>
      <c r="F172" s="2"/>
      <c r="G172" s="2"/>
      <c r="H172" s="2"/>
      <c r="I172" s="2"/>
    </row>
    <row r="173" spans="1:9" s="3" customFormat="1" ht="30" x14ac:dyDescent="0.3">
      <c r="A173" s="4" t="str">
        <f>dB題庫!A32</f>
        <v>31</v>
      </c>
      <c r="B173" s="4" t="str">
        <f>dB題庫!B32</f>
        <v>當空氣中水氣含量已達其最高限度時,此時相對溼度為何</v>
      </c>
      <c r="C173" s="4" t="str">
        <f t="shared" si="1"/>
        <v>31.當空氣中水氣含量已達其最高限度時,此時相對溼度為何</v>
      </c>
      <c r="D173" s="4" t="str">
        <f>dB題庫!C32</f>
        <v>0.2</v>
      </c>
      <c r="E173" s="4" t="str">
        <f>dB題庫!D32</f>
        <v>0.4。</v>
      </c>
      <c r="F173" s="4" t="str">
        <f>dB題庫!E32</f>
        <v>0.8。</v>
      </c>
      <c r="G173" s="4" t="str">
        <f>dB題庫!F32</f>
        <v>1.0。</v>
      </c>
      <c r="H173" s="4" t="str">
        <f>dB題庫!G32</f>
        <v>D</v>
      </c>
      <c r="I173" s="4" t="str">
        <f>dB題庫!H32</f>
        <v>相對濕度是空氣中實際水氣量與同溫下最大可能水氣量的比值。當水氣含量達到最高限度(飽和狀態)時，比值為 100%，以小數表示即為 1。</v>
      </c>
    </row>
    <row r="174" spans="1:9" s="3" customFormat="1" x14ac:dyDescent="0.3">
      <c r="A174" s="2" t="s">
        <v>99</v>
      </c>
      <c r="B174" s="1"/>
      <c r="C174" s="7" t="str">
        <f>"(A.)"&amp;D173</f>
        <v>(A.)0.2</v>
      </c>
      <c r="D174" s="2"/>
      <c r="E174" s="2"/>
      <c r="F174" s="2"/>
      <c r="G174" s="2"/>
      <c r="H174" s="2"/>
      <c r="I174" s="2"/>
    </row>
    <row r="175" spans="1:9" s="3" customFormat="1" x14ac:dyDescent="0.3">
      <c r="A175" s="2"/>
      <c r="B175" s="1"/>
      <c r="C175" s="7" t="str">
        <f>"(B.)"&amp;E173</f>
        <v>(B.)0.4。</v>
      </c>
      <c r="D175" s="2"/>
      <c r="E175" s="2"/>
      <c r="F175" s="2"/>
      <c r="G175" s="2"/>
      <c r="H175" s="2"/>
      <c r="I175" s="2"/>
    </row>
    <row r="176" spans="1:9" s="3" customFormat="1" x14ac:dyDescent="0.3">
      <c r="A176" s="2"/>
      <c r="B176" s="2"/>
      <c r="C176" s="7" t="str">
        <f>"(C.)"&amp;F173</f>
        <v>(C.)0.8。</v>
      </c>
      <c r="D176" s="2"/>
      <c r="E176" s="2"/>
      <c r="F176" s="2"/>
      <c r="G176" s="2"/>
      <c r="H176" s="2"/>
      <c r="I176" s="2"/>
    </row>
    <row r="177" spans="1:9" s="3" customFormat="1" x14ac:dyDescent="0.3">
      <c r="A177" s="2"/>
      <c r="B177" s="2"/>
      <c r="C177" s="7" t="str">
        <f>"(D.)"&amp;G173</f>
        <v>(D.)1.0。</v>
      </c>
      <c r="D177" s="2"/>
      <c r="E177" s="2"/>
      <c r="F177" s="2"/>
      <c r="G177" s="2"/>
      <c r="H177" s="2"/>
      <c r="I177" s="2"/>
    </row>
    <row r="178" spans="1:9" s="3" customFormat="1" x14ac:dyDescent="0.3">
      <c r="A178" s="2"/>
      <c r="B178" s="2"/>
      <c r="C178" s="7" t="str">
        <f>"答案是： "&amp;IF(H173="A",C174,IF(H173="B",C175,IF(H173="C",C176,IF(H173=("D"),C177,"XXXX"))))</f>
        <v>答案是： (D.)1.0。</v>
      </c>
      <c r="D178" s="2"/>
      <c r="E178" s="2"/>
      <c r="F178" s="2"/>
      <c r="G178" s="2"/>
      <c r="H178" s="2"/>
      <c r="I178" s="2"/>
    </row>
    <row r="179" spans="1:9" s="3" customFormat="1" ht="60" x14ac:dyDescent="0.3">
      <c r="A179" s="2"/>
      <c r="B179" s="2"/>
      <c r="C179" s="7" t="str">
        <f>"說明："&amp;I173</f>
        <v>說明：相對濕度是空氣中實際水氣量與同溫下最大可能水氣量的比值。當水氣含量達到最高限度(飽和狀態)時，比值為 100%，以小數表示即為 1。</v>
      </c>
      <c r="D179" s="2"/>
      <c r="E179" s="2"/>
      <c r="F179" s="2"/>
      <c r="G179" s="2"/>
      <c r="H179" s="2"/>
      <c r="I179" s="2"/>
    </row>
    <row r="180" spans="1:9" s="3" customFormat="1" ht="45" x14ac:dyDescent="0.3">
      <c r="A180" s="4" t="str">
        <f>dB題庫!A33</f>
        <v>32</v>
      </c>
      <c r="B180" s="4" t="str">
        <f>dB題庫!B33</f>
        <v>空氣能容納水氣量之多寡與下列何者有密切關係</v>
      </c>
      <c r="C180" s="4" t="str">
        <f t="shared" si="1"/>
        <v>32.空氣能容納水氣量之多寡與下列何者有密切關係</v>
      </c>
      <c r="D180" s="4" t="str">
        <f>dB題庫!C33</f>
        <v>空氣含氧量。</v>
      </c>
      <c r="E180" s="4" t="str">
        <f>dB題庫!D33</f>
        <v>空氣雜質含量。</v>
      </c>
      <c r="F180" s="4" t="str">
        <f>dB題庫!E33</f>
        <v>溫度。</v>
      </c>
      <c r="G180" s="4" t="str">
        <f>dB題庫!F33</f>
        <v>空氣惰性氣體成份。</v>
      </c>
      <c r="H180" s="4" t="str">
        <f>dB題庫!G33</f>
        <v>C</v>
      </c>
      <c r="I180" s="4" t="str">
        <f>dB題庫!H33</f>
        <v>大氣的熱力學特性顯示，空氣容納水氣的能力完全取決於「溫度」。溫度越高，空氣分子間距與動能越大，所能容納的最大水氣量就越多；溫度下降時，容納水氣上限降低。</v>
      </c>
    </row>
    <row r="181" spans="1:9" s="3" customFormat="1" x14ac:dyDescent="0.3">
      <c r="A181" s="2" t="s">
        <v>99</v>
      </c>
      <c r="B181" s="1"/>
      <c r="C181" s="7" t="str">
        <f>"(A.)"&amp;D180</f>
        <v>(A.)空氣含氧量。</v>
      </c>
      <c r="D181" s="2"/>
      <c r="E181" s="2"/>
      <c r="F181" s="2"/>
      <c r="G181" s="2"/>
      <c r="H181" s="2"/>
      <c r="I181" s="2"/>
    </row>
    <row r="182" spans="1:9" s="3" customFormat="1" x14ac:dyDescent="0.3">
      <c r="A182" s="2"/>
      <c r="B182" s="1"/>
      <c r="C182" s="7" t="str">
        <f>"(B.)"&amp;E180</f>
        <v>(B.)空氣雜質含量。</v>
      </c>
      <c r="D182" s="2"/>
      <c r="E182" s="2"/>
      <c r="F182" s="2"/>
      <c r="G182" s="2"/>
      <c r="H182" s="2"/>
      <c r="I182" s="2"/>
    </row>
    <row r="183" spans="1:9" s="3" customFormat="1" x14ac:dyDescent="0.3">
      <c r="A183" s="2"/>
      <c r="B183" s="2"/>
      <c r="C183" s="7" t="str">
        <f>"(C.)"&amp;F180</f>
        <v>(C.)溫度。</v>
      </c>
      <c r="D183" s="2"/>
      <c r="E183" s="2"/>
      <c r="F183" s="2"/>
      <c r="G183" s="2"/>
      <c r="H183" s="2"/>
      <c r="I183" s="2"/>
    </row>
    <row r="184" spans="1:9" s="3" customFormat="1" x14ac:dyDescent="0.3">
      <c r="A184" s="2"/>
      <c r="B184" s="2"/>
      <c r="C184" s="7" t="str">
        <f>"(D.)"&amp;G180</f>
        <v>(D.)空氣惰性氣體成份。</v>
      </c>
      <c r="D184" s="2"/>
      <c r="E184" s="2"/>
      <c r="F184" s="2"/>
      <c r="G184" s="2"/>
      <c r="H184" s="2"/>
      <c r="I184" s="2"/>
    </row>
    <row r="185" spans="1:9" s="3" customFormat="1" x14ac:dyDescent="0.3">
      <c r="A185" s="2"/>
      <c r="B185" s="2"/>
      <c r="C185" s="7" t="str">
        <f>"答案是： "&amp;IF(H180="A",C181,IF(H180="B",C182,IF(H180="C",C183,IF(H180=("D"),C184,"XXXX"))))</f>
        <v>答案是： (C.)溫度。</v>
      </c>
      <c r="D185" s="2"/>
      <c r="E185" s="2"/>
      <c r="F185" s="2"/>
      <c r="G185" s="2"/>
      <c r="H185" s="2"/>
      <c r="I185" s="2"/>
    </row>
    <row r="186" spans="1:9" s="3" customFormat="1" ht="60" x14ac:dyDescent="0.3">
      <c r="A186" s="2"/>
      <c r="B186" s="2"/>
      <c r="C186" s="7" t="str">
        <f>"說明："&amp;I180</f>
        <v>說明：大氣的熱力學特性顯示，空氣容納水氣的能力完全取決於「溫度」。溫度越高，空氣分子間距與動能越大，所能容納的最大水氣量就越多；溫度下降時，容納水氣上限降低。</v>
      </c>
      <c r="D186" s="2"/>
      <c r="E186" s="2"/>
      <c r="F186" s="2"/>
      <c r="G186" s="2"/>
      <c r="H186" s="2"/>
      <c r="I186" s="2"/>
    </row>
    <row r="187" spans="1:9" s="3" customFormat="1" ht="45" x14ac:dyDescent="0.3">
      <c r="A187" s="4" t="str">
        <f>dB題庫!A34</f>
        <v>33</v>
      </c>
      <c r="B187" s="4" t="str">
        <f>dB題庫!B34</f>
        <v>已飽和之水氣如遇溫度持續下降,不會產生下列哪種現象</v>
      </c>
      <c r="C187" s="4" t="str">
        <f t="shared" si="1"/>
        <v>33.已飽和之水氣如遇溫度持續下降,不會產生下列哪種現象</v>
      </c>
      <c r="D187" s="4" t="str">
        <f>dB題庫!C34</f>
        <v>霧。</v>
      </c>
      <c r="E187" s="4" t="str">
        <f>dB題庫!D34</f>
        <v>雲。</v>
      </c>
      <c r="F187" s="4" t="str">
        <f>dB題庫!E34</f>
        <v>雨滴。</v>
      </c>
      <c r="G187" s="4" t="str">
        <f>dB題庫!F34</f>
        <v>風。</v>
      </c>
      <c r="H187" s="4" t="str">
        <f>dB題庫!G34</f>
        <v>D</v>
      </c>
      <c r="I187" s="4" t="str">
        <f>dB題庫!H34</f>
        <v>當飽和空氣遭遇溫度持續下降時，超額的水氣會開始凝結，在地面形成霧，在高空形成雲，累積變大則降下雨滴。而「風」是由於水平氣壓梯度力產生的空氣運動，非水氣凝結直接引發。</v>
      </c>
    </row>
    <row r="188" spans="1:9" s="3" customFormat="1" x14ac:dyDescent="0.3">
      <c r="A188" s="2" t="s">
        <v>99</v>
      </c>
      <c r="B188" s="1"/>
      <c r="C188" s="7" t="str">
        <f>"(A.)"&amp;D187</f>
        <v>(A.)霧。</v>
      </c>
      <c r="D188" s="2"/>
      <c r="E188" s="2"/>
      <c r="F188" s="2"/>
      <c r="G188" s="2"/>
      <c r="H188" s="2"/>
      <c r="I188" s="2"/>
    </row>
    <row r="189" spans="1:9" s="3" customFormat="1" x14ac:dyDescent="0.3">
      <c r="A189" s="2"/>
      <c r="B189" s="1"/>
      <c r="C189" s="7" t="str">
        <f>"(B.)"&amp;E187</f>
        <v>(B.)雲。</v>
      </c>
      <c r="D189" s="2"/>
      <c r="E189" s="2"/>
      <c r="F189" s="2"/>
      <c r="G189" s="2"/>
      <c r="H189" s="2"/>
      <c r="I189" s="2"/>
    </row>
    <row r="190" spans="1:9" s="3" customFormat="1" x14ac:dyDescent="0.3">
      <c r="A190" s="2"/>
      <c r="B190" s="2"/>
      <c r="C190" s="7" t="str">
        <f>"(C.)"&amp;F187</f>
        <v>(C.)雨滴。</v>
      </c>
      <c r="D190" s="2"/>
      <c r="E190" s="2"/>
      <c r="F190" s="2"/>
      <c r="G190" s="2"/>
      <c r="H190" s="2"/>
      <c r="I190" s="2"/>
    </row>
    <row r="191" spans="1:9" s="3" customFormat="1" x14ac:dyDescent="0.3">
      <c r="A191" s="2"/>
      <c r="B191" s="2"/>
      <c r="C191" s="7" t="str">
        <f>"(D.)"&amp;G187</f>
        <v>(D.)風。</v>
      </c>
      <c r="D191" s="2"/>
      <c r="E191" s="2"/>
      <c r="F191" s="2"/>
      <c r="G191" s="2"/>
      <c r="H191" s="2"/>
      <c r="I191" s="2"/>
    </row>
    <row r="192" spans="1:9" s="3" customFormat="1" x14ac:dyDescent="0.3">
      <c r="A192" s="2"/>
      <c r="B192" s="2"/>
      <c r="C192" s="7" t="str">
        <f>"答案是： "&amp;IF(H187="A",C188,IF(H187="B",C189,IF(H187="C",C190,IF(H187=("D"),C191,"XXXX"))))</f>
        <v>答案是： (D.)風。</v>
      </c>
      <c r="D192" s="2"/>
      <c r="E192" s="2"/>
      <c r="F192" s="2"/>
      <c r="G192" s="2"/>
      <c r="H192" s="2"/>
      <c r="I192" s="2"/>
    </row>
    <row r="193" spans="1:9" s="3" customFormat="1" ht="75" x14ac:dyDescent="0.3">
      <c r="A193" s="2"/>
      <c r="B193" s="2"/>
      <c r="C193" s="7" t="str">
        <f>"說明："&amp;I187</f>
        <v>說明：當飽和空氣遭遇溫度持續下降時，超額的水氣會開始凝結，在地面形成霧，在高空形成雲，累積變大則降下雨滴。而「風」是由於水平氣壓梯度力產生的空氣運動，非水氣凝結直接引發。</v>
      </c>
      <c r="D193" s="2"/>
      <c r="E193" s="2"/>
      <c r="F193" s="2"/>
      <c r="G193" s="2"/>
      <c r="H193" s="2"/>
      <c r="I193" s="2"/>
    </row>
    <row r="194" spans="1:9" s="3" customFormat="1" ht="45" x14ac:dyDescent="0.3">
      <c r="A194" s="4" t="str">
        <f>dB題庫!A35</f>
        <v>34</v>
      </c>
      <c r="B194" s="4" t="str">
        <f>dB題庫!B35</f>
        <v>空氣中實際所含水氣量,與相同溫度下可含最大水氣量之百分比,稱為</v>
      </c>
      <c r="C194" s="4" t="str">
        <f t="shared" si="1"/>
        <v>34.空氣中實際所含水氣量,與相同溫度下可含最大水氣量之百分比,稱為</v>
      </c>
      <c r="D194" s="4" t="str">
        <f>dB題庫!C35</f>
        <v>絕對濕度。</v>
      </c>
      <c r="E194" s="4" t="str">
        <f>dB題庫!D35</f>
        <v>相對濕度。</v>
      </c>
      <c r="F194" s="4" t="str">
        <f>dB題庫!E35</f>
        <v>同溫濕度。</v>
      </c>
      <c r="G194" s="4" t="str">
        <f>dB題庫!F35</f>
        <v>實際濕度.</v>
      </c>
      <c r="H194" s="4" t="str">
        <f>dB題庫!G35</f>
        <v>B</v>
      </c>
      <c r="I194" s="4" t="str">
        <f>dB題庫!H35</f>
        <v>氣象學中，「相對濕度」(Relative Humidity)的標準定義即是當前大氣中實際包含的水氣量，與在相同溫度條件下大氣所能容納的最大飽和水氣量之間的百分比率。</v>
      </c>
    </row>
    <row r="195" spans="1:9" s="3" customFormat="1" x14ac:dyDescent="0.3">
      <c r="A195" s="2" t="s">
        <v>99</v>
      </c>
      <c r="B195" s="1"/>
      <c r="C195" s="7" t="str">
        <f>"(A.)"&amp;D194</f>
        <v>(A.)絕對濕度。</v>
      </c>
      <c r="D195" s="2"/>
      <c r="E195" s="2"/>
      <c r="F195" s="2"/>
      <c r="G195" s="2"/>
      <c r="H195" s="2"/>
      <c r="I195" s="2"/>
    </row>
    <row r="196" spans="1:9" s="3" customFormat="1" x14ac:dyDescent="0.3">
      <c r="A196" s="2"/>
      <c r="B196" s="1"/>
      <c r="C196" s="7" t="str">
        <f>"(B.)"&amp;E194</f>
        <v>(B.)相對濕度。</v>
      </c>
      <c r="D196" s="2"/>
      <c r="E196" s="2"/>
      <c r="F196" s="2"/>
      <c r="G196" s="2"/>
      <c r="H196" s="2"/>
      <c r="I196" s="2"/>
    </row>
    <row r="197" spans="1:9" s="3" customFormat="1" x14ac:dyDescent="0.3">
      <c r="A197" s="2"/>
      <c r="B197" s="2"/>
      <c r="C197" s="7" t="str">
        <f>"(C.)"&amp;F194</f>
        <v>(C.)同溫濕度。</v>
      </c>
      <c r="D197" s="2"/>
      <c r="E197" s="2"/>
      <c r="F197" s="2"/>
      <c r="G197" s="2"/>
      <c r="H197" s="2"/>
      <c r="I197" s="2"/>
    </row>
    <row r="198" spans="1:9" s="3" customFormat="1" x14ac:dyDescent="0.3">
      <c r="A198" s="2"/>
      <c r="B198" s="2"/>
      <c r="C198" s="7" t="str">
        <f>"(D.)"&amp;G194</f>
        <v>(D.)實際濕度.</v>
      </c>
      <c r="D198" s="2"/>
      <c r="E198" s="2"/>
      <c r="F198" s="2"/>
      <c r="G198" s="2"/>
      <c r="H198" s="2"/>
      <c r="I198" s="2"/>
    </row>
    <row r="199" spans="1:9" s="3" customFormat="1" x14ac:dyDescent="0.3">
      <c r="A199" s="2"/>
      <c r="B199" s="2"/>
      <c r="C199" s="7" t="str">
        <f>"答案是： "&amp;IF(H194="A",C195,IF(H194="B",C196,IF(H194="C",C197,IF(H194=("D"),C198,"XXXX"))))</f>
        <v>答案是： (B.)相對濕度。</v>
      </c>
      <c r="D199" s="2"/>
      <c r="E199" s="2"/>
      <c r="F199" s="2"/>
      <c r="G199" s="2"/>
      <c r="H199" s="2"/>
      <c r="I199" s="2"/>
    </row>
    <row r="200" spans="1:9" s="3" customFormat="1" ht="60" x14ac:dyDescent="0.3">
      <c r="A200" s="2"/>
      <c r="B200" s="2"/>
      <c r="C200" s="7" t="str">
        <f>"說明："&amp;I194</f>
        <v>說明：氣象學中，「相對濕度」(Relative Humidity)的標準定義即是當前大氣中實際包含的水氣量，與在相同溫度條件下大氣所能容納的最大飽和水氣量之間的百分比率。</v>
      </c>
      <c r="D200" s="2"/>
      <c r="E200" s="2"/>
      <c r="F200" s="2"/>
      <c r="G200" s="2"/>
      <c r="H200" s="2"/>
      <c r="I200" s="2"/>
    </row>
    <row r="201" spans="1:9" s="3" customFormat="1" ht="45" x14ac:dyDescent="0.3">
      <c r="A201" s="4" t="str">
        <f>dB題庫!A36</f>
        <v>35</v>
      </c>
      <c r="B201" s="4" t="str">
        <f>dB題庫!B36</f>
        <v>空氣中濕度越高,會導致下列哪種情形</v>
      </c>
      <c r="C201" s="4" t="str">
        <f t="shared" si="1"/>
        <v>35.空氣中濕度越高,會導致下列哪種情形</v>
      </c>
      <c r="D201" s="4" t="str">
        <f>dB題庫!C36</f>
        <v>空氣的壓力越大。</v>
      </c>
      <c r="E201" s="4" t="str">
        <f>dB題庫!D36</f>
        <v>空氣密度越低。</v>
      </c>
      <c r="F201" s="4" t="str">
        <f>dB題庫!E36</f>
        <v>飛行器升力增加。</v>
      </c>
      <c r="G201" s="4" t="str">
        <f>dB題庫!F36</f>
        <v>涼爽度提高。</v>
      </c>
      <c r="H201" s="4" t="str">
        <f>dB題庫!G36</f>
        <v>B</v>
      </c>
      <c r="I201" s="4" t="str">
        <f>dB題庫!H36</f>
        <v>水分子(H_2_O，分子量約18)比乾燥空氣的主要成分氮氣(N_2，分子量28)與氧氣(O_2，分子量32)還要輕。因此，當空氣中水氣含量越多(濕度越高)時，會排擠重分子，導致整體的「空氣密度越低」，進而降低飛機的升力表現。</v>
      </c>
    </row>
    <row r="202" spans="1:9" s="3" customFormat="1" x14ac:dyDescent="0.3">
      <c r="A202" s="2" t="s">
        <v>99</v>
      </c>
      <c r="B202" s="1"/>
      <c r="C202" s="7" t="str">
        <f>"(A.)"&amp;D201</f>
        <v>(A.)空氣的壓力越大。</v>
      </c>
      <c r="D202" s="2"/>
      <c r="E202" s="2"/>
      <c r="F202" s="2"/>
      <c r="G202" s="2"/>
      <c r="H202" s="2"/>
      <c r="I202" s="2"/>
    </row>
    <row r="203" spans="1:9" s="3" customFormat="1" x14ac:dyDescent="0.3">
      <c r="A203" s="2"/>
      <c r="B203" s="1"/>
      <c r="C203" s="7" t="str">
        <f>"(B.)"&amp;E201</f>
        <v>(B.)空氣密度越低。</v>
      </c>
      <c r="D203" s="2"/>
      <c r="E203" s="2"/>
      <c r="F203" s="2"/>
      <c r="G203" s="2"/>
      <c r="H203" s="2"/>
      <c r="I203" s="2"/>
    </row>
    <row r="204" spans="1:9" s="3" customFormat="1" x14ac:dyDescent="0.3">
      <c r="A204" s="2"/>
      <c r="B204" s="2"/>
      <c r="C204" s="7" t="str">
        <f>"(C.)"&amp;F201</f>
        <v>(C.)飛行器升力增加。</v>
      </c>
      <c r="D204" s="2"/>
      <c r="E204" s="2"/>
      <c r="F204" s="2"/>
      <c r="G204" s="2"/>
      <c r="H204" s="2"/>
      <c r="I204" s="2"/>
    </row>
    <row r="205" spans="1:9" s="3" customFormat="1" x14ac:dyDescent="0.3">
      <c r="A205" s="2"/>
      <c r="B205" s="2"/>
      <c r="C205" s="7" t="str">
        <f>"(D.)"&amp;G201</f>
        <v>(D.)涼爽度提高。</v>
      </c>
      <c r="D205" s="2"/>
      <c r="E205" s="2"/>
      <c r="F205" s="2"/>
      <c r="G205" s="2"/>
      <c r="H205" s="2"/>
      <c r="I205" s="2"/>
    </row>
    <row r="206" spans="1:9" s="3" customFormat="1" x14ac:dyDescent="0.3">
      <c r="A206" s="2"/>
      <c r="B206" s="2"/>
      <c r="C206" s="7" t="str">
        <f>"答案是： "&amp;IF(H201="A",C202,IF(H201="B",C203,IF(H201="C",C204,IF(H201=("D"),C205,"XXXX"))))</f>
        <v>答案是： (B.)空氣密度越低。</v>
      </c>
      <c r="D206" s="2"/>
      <c r="E206" s="2"/>
      <c r="F206" s="2"/>
      <c r="G206" s="2"/>
      <c r="H206" s="2"/>
      <c r="I206" s="2"/>
    </row>
    <row r="207" spans="1:9" s="3" customFormat="1" ht="90" x14ac:dyDescent="0.3">
      <c r="A207" s="2"/>
      <c r="B207" s="2"/>
      <c r="C207" s="7" t="str">
        <f>"說明："&amp;I201</f>
        <v>說明：水分子(H_2_O，分子量約18)比乾燥空氣的主要成分氮氣(N_2，分子量28)與氧氣(O_2，分子量32)還要輕。因此，當空氣中水氣含量越多(濕度越高)時，會排擠重分子，導致整體的「空氣密度越低」，進而降低飛機的升力表現。</v>
      </c>
      <c r="D207" s="2"/>
      <c r="E207" s="2"/>
      <c r="F207" s="2"/>
      <c r="G207" s="2"/>
      <c r="H207" s="2"/>
      <c r="I207" s="2"/>
    </row>
    <row r="208" spans="1:9" s="3" customFormat="1" ht="45" x14ac:dyDescent="0.3">
      <c r="A208" s="4" t="str">
        <f>dB題庫!A37</f>
        <v>36</v>
      </c>
      <c r="B208" s="4" t="str">
        <f>dB題庫!B37</f>
        <v>當空氣溫度等於露點溫度時,即達到何種狀況</v>
      </c>
      <c r="C208" s="4" t="str">
        <f t="shared" si="1"/>
        <v>36.當空氣溫度等於露點溫度時,即達到何種狀況</v>
      </c>
      <c r="D208" s="4" t="str">
        <f>dB題庫!C37</f>
        <v>水氣沸點。</v>
      </c>
      <c r="E208" s="4" t="str">
        <f>dB題庫!D37</f>
        <v>水氣飽和點。</v>
      </c>
      <c r="F208" s="4" t="str">
        <f>dB題庫!E37</f>
        <v>水氣熔點。</v>
      </c>
      <c r="G208" s="4" t="str">
        <f>dB題庫!F37</f>
        <v>水氣蒸發點。</v>
      </c>
      <c r="H208" s="4" t="str">
        <f>dB題庫!G37</f>
        <v>B</v>
      </c>
      <c r="I208" s="4" t="str">
        <f>dB題庫!H37</f>
        <v>「露點溫度」(Dew Point)是指在固定氣壓與水氣含量下，空氣冷卻至水氣開始凝結出水滴時的溫度。當環境氣溫下降到等於露點溫度時，空氣即達到 100% 的「水氣飽和點」。</v>
      </c>
    </row>
    <row r="209" spans="1:9" s="3" customFormat="1" x14ac:dyDescent="0.3">
      <c r="A209" s="2" t="s">
        <v>99</v>
      </c>
      <c r="B209" s="1"/>
      <c r="C209" s="7" t="str">
        <f>"(A.)"&amp;D208</f>
        <v>(A.)水氣沸點。</v>
      </c>
      <c r="D209" s="2"/>
      <c r="E209" s="2"/>
      <c r="F209" s="2"/>
      <c r="G209" s="2"/>
      <c r="H209" s="2"/>
      <c r="I209" s="2"/>
    </row>
    <row r="210" spans="1:9" s="3" customFormat="1" x14ac:dyDescent="0.3">
      <c r="A210" s="2"/>
      <c r="B210" s="1"/>
      <c r="C210" s="7" t="str">
        <f>"(B.)"&amp;E208</f>
        <v>(B.)水氣飽和點。</v>
      </c>
      <c r="D210" s="2"/>
      <c r="E210" s="2"/>
      <c r="F210" s="2"/>
      <c r="G210" s="2"/>
      <c r="H210" s="2"/>
      <c r="I210" s="2"/>
    </row>
    <row r="211" spans="1:9" s="3" customFormat="1" x14ac:dyDescent="0.3">
      <c r="A211" s="2"/>
      <c r="B211" s="2"/>
      <c r="C211" s="7" t="str">
        <f>"(C.)"&amp;F208</f>
        <v>(C.)水氣熔點。</v>
      </c>
      <c r="D211" s="2"/>
      <c r="E211" s="2"/>
      <c r="F211" s="2"/>
      <c r="G211" s="2"/>
      <c r="H211" s="2"/>
      <c r="I211" s="2"/>
    </row>
    <row r="212" spans="1:9" s="3" customFormat="1" x14ac:dyDescent="0.3">
      <c r="A212" s="2"/>
      <c r="B212" s="2"/>
      <c r="C212" s="7" t="str">
        <f>"(D.)"&amp;G208</f>
        <v>(D.)水氣蒸發點。</v>
      </c>
      <c r="D212" s="2"/>
      <c r="E212" s="2"/>
      <c r="F212" s="2"/>
      <c r="G212" s="2"/>
      <c r="H212" s="2"/>
      <c r="I212" s="2"/>
    </row>
    <row r="213" spans="1:9" s="3" customFormat="1" x14ac:dyDescent="0.3">
      <c r="A213" s="2"/>
      <c r="B213" s="2"/>
      <c r="C213" s="7" t="str">
        <f>"答案是： "&amp;IF(H208="A",C209,IF(H208="B",C210,IF(H208="C",C211,IF(H208=("D"),C212,"XXXX"))))</f>
        <v>答案是： (B.)水氣飽和點。</v>
      </c>
      <c r="D213" s="2"/>
      <c r="E213" s="2"/>
      <c r="F213" s="2"/>
      <c r="G213" s="2"/>
      <c r="H213" s="2"/>
      <c r="I213" s="2"/>
    </row>
    <row r="214" spans="1:9" s="3" customFormat="1" ht="60" x14ac:dyDescent="0.3">
      <c r="A214" s="2"/>
      <c r="B214" s="2"/>
      <c r="C214" s="7" t="str">
        <f>"說明："&amp;I208</f>
        <v>說明：「露點溫度」(Dew Point)是指在固定氣壓與水氣含量下，空氣冷卻至水氣開始凝結出水滴時的溫度。當環境氣溫下降到等於露點溫度時，空氣即達到 100% 的「水氣飽和點」。</v>
      </c>
      <c r="D214" s="2"/>
      <c r="E214" s="2"/>
      <c r="F214" s="2"/>
      <c r="G214" s="2"/>
      <c r="H214" s="2"/>
      <c r="I214" s="2"/>
    </row>
    <row r="215" spans="1:9" s="3" customFormat="1" ht="45" x14ac:dyDescent="0.3">
      <c r="A215" s="4" t="str">
        <f>dB題庫!A38</f>
        <v>37</v>
      </c>
      <c r="B215" s="4" t="str">
        <f>dB題庫!B38</f>
        <v>水汽飽和時不會產生下列哪種現象</v>
      </c>
      <c r="C215" s="4" t="str">
        <f t="shared" si="1"/>
        <v>37.水汽飽和時不會產生下列哪種現象</v>
      </c>
      <c r="D215" s="4" t="str">
        <f>dB題庫!C38</f>
        <v>雲。</v>
      </c>
      <c r="E215" s="4" t="str">
        <f>dB題庫!D38</f>
        <v>霧。</v>
      </c>
      <c r="F215" s="4" t="str">
        <f>dB題庫!E38</f>
        <v>雨。</v>
      </c>
      <c r="G215" s="4" t="str">
        <f>dB題庫!F38</f>
        <v>雷爆。</v>
      </c>
      <c r="H215" s="4" t="str">
        <f>dB題庫!G38</f>
        <v>D</v>
      </c>
      <c r="I215" s="4" t="str">
        <f>dB題庫!H38</f>
        <v>水氣達到飽和並冷卻時，會凝結形成雲、霧、雨等水文現象。而「雷暴」(Thunderstorm)的產生除了水氣飽和外，還必須具備「不穩定的大氣結構」以及「強烈的抬升對流力」，因此僅水氣飽和不會直接產生雷暴。</v>
      </c>
    </row>
    <row r="216" spans="1:9" s="3" customFormat="1" x14ac:dyDescent="0.3">
      <c r="A216" s="2" t="s">
        <v>99</v>
      </c>
      <c r="B216" s="1"/>
      <c r="C216" s="7" t="str">
        <f>"(A.)"&amp;D215</f>
        <v>(A.)雲。</v>
      </c>
      <c r="D216" s="2"/>
      <c r="E216" s="2"/>
      <c r="F216" s="2"/>
      <c r="G216" s="2"/>
      <c r="H216" s="2"/>
      <c r="I216" s="2"/>
    </row>
    <row r="217" spans="1:9" s="3" customFormat="1" x14ac:dyDescent="0.3">
      <c r="A217" s="2"/>
      <c r="B217" s="1"/>
      <c r="C217" s="7" t="str">
        <f>"(B.)"&amp;E215</f>
        <v>(B.)霧。</v>
      </c>
      <c r="D217" s="2"/>
      <c r="E217" s="2"/>
      <c r="F217" s="2"/>
      <c r="G217" s="2"/>
      <c r="H217" s="2"/>
      <c r="I217" s="2"/>
    </row>
    <row r="218" spans="1:9" s="3" customFormat="1" x14ac:dyDescent="0.3">
      <c r="A218" s="2"/>
      <c r="B218" s="2"/>
      <c r="C218" s="7" t="str">
        <f>"(C.)"&amp;F215</f>
        <v>(C.)雨。</v>
      </c>
      <c r="D218" s="2"/>
      <c r="E218" s="2"/>
      <c r="F218" s="2"/>
      <c r="G218" s="2"/>
      <c r="H218" s="2"/>
      <c r="I218" s="2"/>
    </row>
    <row r="219" spans="1:9" s="3" customFormat="1" x14ac:dyDescent="0.3">
      <c r="A219" s="2"/>
      <c r="B219" s="2"/>
      <c r="C219" s="7" t="str">
        <f>"(D.)"&amp;G215</f>
        <v>(D.)雷爆。</v>
      </c>
      <c r="D219" s="2"/>
      <c r="E219" s="2"/>
      <c r="F219" s="2"/>
      <c r="G219" s="2"/>
      <c r="H219" s="2"/>
      <c r="I219" s="2"/>
    </row>
    <row r="220" spans="1:9" s="3" customFormat="1" x14ac:dyDescent="0.3">
      <c r="A220" s="2"/>
      <c r="B220" s="2"/>
      <c r="C220" s="7" t="str">
        <f>"答案是： "&amp;IF(H215="A",C216,IF(H215="B",C217,IF(H215="C",C218,IF(H215=("D"),C219,"XXXX"))))</f>
        <v>答案是： (D.)雷爆。</v>
      </c>
      <c r="D220" s="2"/>
      <c r="E220" s="2"/>
      <c r="F220" s="2"/>
      <c r="G220" s="2"/>
      <c r="H220" s="2"/>
      <c r="I220" s="2"/>
    </row>
    <row r="221" spans="1:9" s="3" customFormat="1" ht="90" x14ac:dyDescent="0.3">
      <c r="A221" s="2"/>
      <c r="B221" s="2"/>
      <c r="C221" s="7" t="str">
        <f>"說明："&amp;I215</f>
        <v>說明：水氣達到飽和並冷卻時，會凝結形成雲、霧、雨等水文現象。而「雷暴」(Thunderstorm)的產生除了水氣飽和外，還必須具備「不穩定的大氣結構」以及「強烈的抬升對流力」，因此僅水氣飽和不會直接產生雷暴。</v>
      </c>
      <c r="D221" s="2"/>
      <c r="E221" s="2"/>
      <c r="F221" s="2"/>
      <c r="G221" s="2"/>
      <c r="H221" s="2"/>
      <c r="I221" s="2"/>
    </row>
    <row r="222" spans="1:9" s="3" customFormat="1" ht="45" x14ac:dyDescent="0.3">
      <c r="A222" s="4" t="str">
        <f>dB題庫!A39</f>
        <v>38</v>
      </c>
      <c r="B222" s="4" t="str">
        <f>dB題庫!B39</f>
        <v>「霧」依其形成條件及特性分有不同種類,下列何者非常用之分類</v>
      </c>
      <c r="C222" s="4" t="str">
        <f t="shared" si="1"/>
        <v>38.「霧」依其形成條件及特性分有不同種類,下列何者非常用之分類</v>
      </c>
      <c r="D222" s="4" t="str">
        <f>dB題庫!C39</f>
        <v>平流霧。</v>
      </c>
      <c r="E222" s="4" t="str">
        <f>dB題庫!D39</f>
        <v>蒸氣霧。</v>
      </c>
      <c r="F222" s="4" t="str">
        <f>dB題庫!E39</f>
        <v>鋒面霧。</v>
      </c>
      <c r="G222" s="4" t="str">
        <f>dB題庫!F39</f>
        <v>高空霧。</v>
      </c>
      <c r="H222" s="4" t="str">
        <f>dB題庫!G39</f>
        <v>D</v>
      </c>
      <c r="I222" s="4" t="str">
        <f>dB題庫!H39</f>
        <v>氣象學對接近地面之霧的常用科學分類包含：平流霧、輻射霧、蒸氣霧、鋒面霧、上坡霧(山坡霧)等。而「高空霧」並非標準的分類名詞，高空的水氣聚集成雲而非霧。</v>
      </c>
    </row>
    <row r="223" spans="1:9" s="3" customFormat="1" x14ac:dyDescent="0.3">
      <c r="A223" s="2" t="s">
        <v>99</v>
      </c>
      <c r="B223" s="1"/>
      <c r="C223" s="7" t="str">
        <f>"(A.)"&amp;D222</f>
        <v>(A.)平流霧。</v>
      </c>
      <c r="D223" s="2"/>
      <c r="E223" s="2"/>
      <c r="F223" s="2"/>
      <c r="G223" s="2"/>
      <c r="H223" s="2"/>
      <c r="I223" s="2"/>
    </row>
    <row r="224" spans="1:9" s="3" customFormat="1" x14ac:dyDescent="0.3">
      <c r="A224" s="2"/>
      <c r="B224" s="1"/>
      <c r="C224" s="7" t="str">
        <f>"(B.)"&amp;E222</f>
        <v>(B.)蒸氣霧。</v>
      </c>
      <c r="D224" s="2"/>
      <c r="E224" s="2"/>
      <c r="F224" s="2"/>
      <c r="G224" s="2"/>
      <c r="H224" s="2"/>
      <c r="I224" s="2"/>
    </row>
    <row r="225" spans="1:9" s="3" customFormat="1" x14ac:dyDescent="0.3">
      <c r="A225" s="2"/>
      <c r="B225" s="2"/>
      <c r="C225" s="7" t="str">
        <f>"(C.)"&amp;F222</f>
        <v>(C.)鋒面霧。</v>
      </c>
      <c r="D225" s="2"/>
      <c r="E225" s="2"/>
      <c r="F225" s="2"/>
      <c r="G225" s="2"/>
      <c r="H225" s="2"/>
      <c r="I225" s="2"/>
    </row>
    <row r="226" spans="1:9" s="3" customFormat="1" x14ac:dyDescent="0.3">
      <c r="A226" s="2"/>
      <c r="B226" s="2"/>
      <c r="C226" s="7" t="str">
        <f>"(D.)"&amp;G222</f>
        <v>(D.)高空霧。</v>
      </c>
      <c r="D226" s="2"/>
      <c r="E226" s="2"/>
      <c r="F226" s="2"/>
      <c r="G226" s="2"/>
      <c r="H226" s="2"/>
      <c r="I226" s="2"/>
    </row>
    <row r="227" spans="1:9" s="3" customFormat="1" x14ac:dyDescent="0.3">
      <c r="A227" s="2"/>
      <c r="B227" s="2"/>
      <c r="C227" s="7" t="str">
        <f>"答案是： "&amp;IF(H222="A",C223,IF(H222="B",C224,IF(H222="C",C225,IF(H222=("D"),C226,"XXXX"))))</f>
        <v>答案是： (D.)高空霧。</v>
      </c>
      <c r="D227" s="2"/>
      <c r="E227" s="2"/>
      <c r="F227" s="2"/>
      <c r="G227" s="2"/>
      <c r="H227" s="2"/>
      <c r="I227" s="2"/>
    </row>
    <row r="228" spans="1:9" s="3" customFormat="1" ht="60" x14ac:dyDescent="0.3">
      <c r="A228" s="2"/>
      <c r="B228" s="2"/>
      <c r="C228" s="7" t="str">
        <f>"說明："&amp;I222</f>
        <v>說明：氣象學對接近地面之霧的常用科學分類包含：平流霧、輻射霧、蒸氣霧、鋒面霧、上坡霧(山坡霧)等。而「高空霧」並非標準的分類名詞，高空的水氣聚集成雲而非霧。</v>
      </c>
      <c r="D228" s="2"/>
      <c r="E228" s="2"/>
      <c r="F228" s="2"/>
      <c r="G228" s="2"/>
      <c r="H228" s="2"/>
      <c r="I228" s="2"/>
    </row>
    <row r="229" spans="1:9" s="3" customFormat="1" ht="45" x14ac:dyDescent="0.3">
      <c r="A229" s="4" t="str">
        <f>dB題庫!A40</f>
        <v>39</v>
      </c>
      <c r="B229" s="4" t="str">
        <f>dB題庫!B40</f>
        <v>有關平流霧之特點,下列何者為非</v>
      </c>
      <c r="C229" s="4" t="str">
        <f t="shared" si="1"/>
        <v>39.有關平流霧之特點,下列何者為非</v>
      </c>
      <c r="D229" s="4" t="str">
        <f>dB題庫!C40</f>
        <v>日出後消散快速。</v>
      </c>
      <c r="E229" s="4" t="str">
        <f>dB題庫!D40</f>
        <v>相對濕度較高。</v>
      </c>
      <c r="F229" s="4" t="str">
        <f>dB題庫!E40</f>
        <v>不容易消散。</v>
      </c>
      <c r="G229" s="4" t="str">
        <f>dB題庫!F40</f>
        <v>可能發生於沿海區域。</v>
      </c>
      <c r="H229" s="4" t="str">
        <f>dB題庫!G40</f>
        <v>A</v>
      </c>
      <c r="I229" s="4" t="str">
        <f>dB題庫!H40</f>
        <v>平流霧是由於暖濕空氣持續流經寒冷地表而形成，其範圍廣、厚度大且水氣補充源源不斷，因此「日出後的陽光照射往往無法使其快速消散」，通常需要等風向轉變或冷空氣移入才會散去。故 (A) 敘述錯誤。</v>
      </c>
    </row>
    <row r="230" spans="1:9" s="3" customFormat="1" x14ac:dyDescent="0.3">
      <c r="A230" s="2" t="s">
        <v>99</v>
      </c>
      <c r="B230" s="1"/>
      <c r="C230" s="7" t="str">
        <f>"(A.)"&amp;D229</f>
        <v>(A.)日出後消散快速。</v>
      </c>
      <c r="D230" s="2"/>
      <c r="E230" s="2"/>
      <c r="F230" s="2"/>
      <c r="G230" s="2"/>
      <c r="H230" s="2"/>
      <c r="I230" s="2"/>
    </row>
    <row r="231" spans="1:9" s="3" customFormat="1" x14ac:dyDescent="0.3">
      <c r="A231" s="2"/>
      <c r="B231" s="1"/>
      <c r="C231" s="7" t="str">
        <f>"(B.)"&amp;E229</f>
        <v>(B.)相對濕度較高。</v>
      </c>
      <c r="D231" s="2"/>
      <c r="E231" s="2"/>
      <c r="F231" s="2"/>
      <c r="G231" s="2"/>
      <c r="H231" s="2"/>
      <c r="I231" s="2"/>
    </row>
    <row r="232" spans="1:9" s="3" customFormat="1" x14ac:dyDescent="0.3">
      <c r="A232" s="2"/>
      <c r="B232" s="2"/>
      <c r="C232" s="7" t="str">
        <f>"(C.)"&amp;F229</f>
        <v>(C.)不容易消散。</v>
      </c>
      <c r="D232" s="2"/>
      <c r="E232" s="2"/>
      <c r="F232" s="2"/>
      <c r="G232" s="2"/>
      <c r="H232" s="2"/>
      <c r="I232" s="2"/>
    </row>
    <row r="233" spans="1:9" s="3" customFormat="1" x14ac:dyDescent="0.3">
      <c r="A233" s="2"/>
      <c r="B233" s="2"/>
      <c r="C233" s="7" t="str">
        <f>"(D.)"&amp;G229</f>
        <v>(D.)可能發生於沿海區域。</v>
      </c>
      <c r="D233" s="2"/>
      <c r="E233" s="2"/>
      <c r="F233" s="2"/>
      <c r="G233" s="2"/>
      <c r="H233" s="2"/>
      <c r="I233" s="2"/>
    </row>
    <row r="234" spans="1:9" s="3" customFormat="1" x14ac:dyDescent="0.3">
      <c r="A234" s="2"/>
      <c r="B234" s="2"/>
      <c r="C234" s="7" t="str">
        <f>"答案是： "&amp;IF(H229="A",C230,IF(H229="B",C231,IF(H229="C",C232,IF(H229=("D"),C233,"XXXX"))))</f>
        <v>答案是： (A.)日出後消散快速。</v>
      </c>
      <c r="D234" s="2"/>
      <c r="E234" s="2"/>
      <c r="F234" s="2"/>
      <c r="G234" s="2"/>
      <c r="H234" s="2"/>
      <c r="I234" s="2"/>
    </row>
    <row r="235" spans="1:9" s="3" customFormat="1" ht="75" x14ac:dyDescent="0.3">
      <c r="A235" s="2"/>
      <c r="B235" s="2"/>
      <c r="C235" s="7" t="str">
        <f>"說明："&amp;I229</f>
        <v>說明：平流霧是由於暖濕空氣持續流經寒冷地表而形成，其範圍廣、厚度大且水氣補充源源不斷，因此「日出後的陽光照射往往無法使其快速消散」，通常需要等風向轉變或冷空氣移入才會散去。故 (A) 敘述錯誤。</v>
      </c>
      <c r="D235" s="2"/>
      <c r="E235" s="2"/>
      <c r="F235" s="2"/>
      <c r="G235" s="2"/>
      <c r="H235" s="2"/>
      <c r="I235" s="2"/>
    </row>
    <row r="236" spans="1:9" s="3" customFormat="1" ht="45" x14ac:dyDescent="0.3">
      <c r="A236" s="4" t="str">
        <f>dB題庫!A41</f>
        <v>40</v>
      </c>
      <c r="B236" s="4" t="str">
        <f>dB題庫!B41</f>
        <v>下列哪一種情況能有助於平流霧之消散</v>
      </c>
      <c r="C236" s="4" t="str">
        <f t="shared" si="1"/>
        <v>40.下列哪一種情況能有助於平流霧之消散</v>
      </c>
      <c r="D236" s="4" t="str">
        <f>dB題庫!C41</f>
        <v>風速變小。</v>
      </c>
      <c r="E236" s="4" t="str">
        <f>dB題庫!D41</f>
        <v>風向轉變。</v>
      </c>
      <c r="F236" s="4" t="str">
        <f>dB題庫!E41</f>
        <v>溫度升高。</v>
      </c>
      <c r="G236" s="4" t="str">
        <f>dB題庫!F41</f>
        <v>濕度增高。</v>
      </c>
      <c r="H236" s="4" t="str">
        <f>dB題庫!G41</f>
        <v>B</v>
      </c>
      <c r="I236" s="4" t="str">
        <f>dB題庫!H41</f>
        <v>平流霧的維持極度依賴特定方向的暖濕氣流輸送。一旦「風向轉變」，切斷了原本溫暖潮濕的空氣來源，或是換成乾燥的空氣灌入，平流霧便會迅速消散。</v>
      </c>
    </row>
    <row r="237" spans="1:9" s="3" customFormat="1" x14ac:dyDescent="0.3">
      <c r="A237" s="2" t="s">
        <v>99</v>
      </c>
      <c r="B237" s="1"/>
      <c r="C237" s="7" t="str">
        <f>"(A.)"&amp;D236</f>
        <v>(A.)風速變小。</v>
      </c>
      <c r="D237" s="2"/>
      <c r="E237" s="2"/>
      <c r="F237" s="2"/>
      <c r="G237" s="2"/>
      <c r="H237" s="2"/>
      <c r="I237" s="2"/>
    </row>
    <row r="238" spans="1:9" s="3" customFormat="1" x14ac:dyDescent="0.3">
      <c r="A238" s="2"/>
      <c r="B238" s="1"/>
      <c r="C238" s="7" t="str">
        <f>"(B.)"&amp;E236</f>
        <v>(B.)風向轉變。</v>
      </c>
      <c r="D238" s="2"/>
      <c r="E238" s="2"/>
      <c r="F238" s="2"/>
      <c r="G238" s="2"/>
      <c r="H238" s="2"/>
      <c r="I238" s="2"/>
    </row>
    <row r="239" spans="1:9" s="3" customFormat="1" x14ac:dyDescent="0.3">
      <c r="A239" s="2"/>
      <c r="B239" s="2"/>
      <c r="C239" s="7" t="str">
        <f>"(C.)"&amp;F236</f>
        <v>(C.)溫度升高。</v>
      </c>
      <c r="D239" s="2"/>
      <c r="E239" s="2"/>
      <c r="F239" s="2"/>
      <c r="G239" s="2"/>
      <c r="H239" s="2"/>
      <c r="I239" s="2"/>
    </row>
    <row r="240" spans="1:9" s="3" customFormat="1" x14ac:dyDescent="0.3">
      <c r="A240" s="2"/>
      <c r="B240" s="2"/>
      <c r="C240" s="7" t="str">
        <f>"(D.)"&amp;G236</f>
        <v>(D.)濕度增高。</v>
      </c>
      <c r="D240" s="2"/>
      <c r="E240" s="2"/>
      <c r="F240" s="2"/>
      <c r="G240" s="2"/>
      <c r="H240" s="2"/>
      <c r="I240" s="2"/>
    </row>
    <row r="241" spans="1:9" s="3" customFormat="1" x14ac:dyDescent="0.3">
      <c r="A241" s="2"/>
      <c r="B241" s="2"/>
      <c r="C241" s="7" t="str">
        <f>"答案是： "&amp;IF(H236="A",C237,IF(H236="B",C238,IF(H236="C",C239,IF(H236=("D"),C240,"XXXX"))))</f>
        <v>答案是： (B.)風向轉變。</v>
      </c>
      <c r="D241" s="2"/>
      <c r="E241" s="2"/>
      <c r="F241" s="2"/>
      <c r="G241" s="2"/>
      <c r="H241" s="2"/>
      <c r="I241" s="2"/>
    </row>
    <row r="242" spans="1:9" s="3" customFormat="1" ht="60" x14ac:dyDescent="0.3">
      <c r="A242" s="2"/>
      <c r="B242" s="2"/>
      <c r="C242" s="7" t="str">
        <f>"說明："&amp;I236</f>
        <v>說明：平流霧的維持極度依賴特定方向的暖濕氣流輸送。一旦「風向轉變」，切斷了原本溫暖潮濕的空氣來源，或是換成乾燥的空氣灌入，平流霧便會迅速消散。</v>
      </c>
      <c r="D242" s="2"/>
      <c r="E242" s="2"/>
      <c r="F242" s="2"/>
      <c r="G242" s="2"/>
      <c r="H242" s="2"/>
      <c r="I242" s="2"/>
    </row>
    <row r="243" spans="1:9" s="3" customFormat="1" ht="60" x14ac:dyDescent="0.3">
      <c r="A243" s="4" t="str">
        <f>dB題庫!A42</f>
        <v>41</v>
      </c>
      <c r="B243" s="4" t="str">
        <f>dB題庫!B42</f>
        <v>有關輻射霧之特點,下列何者為非</v>
      </c>
      <c r="C243" s="4" t="str">
        <f t="shared" si="1"/>
        <v>41.有關輻射霧之特點,下列何者為非</v>
      </c>
      <c r="D243" s="4" t="str">
        <f>dB題庫!C42</f>
        <v>日出後漸漸消散。</v>
      </c>
      <c r="E243" s="4" t="str">
        <f>dB題庫!D42</f>
        <v>大都發生於冬季。</v>
      </c>
      <c r="F243" s="4" t="str">
        <f>dB題庫!E42</f>
        <v>相較於平流霧比較不容易消散。</v>
      </c>
      <c r="G243" s="4" t="str">
        <f>dB題庫!F42</f>
        <v>通常地面風速微弱、空氣穩定。</v>
      </c>
      <c r="H243" s="4" t="str">
        <f>dB題庫!G42</f>
        <v>C</v>
      </c>
      <c r="I243" s="4" t="str">
        <f>dB題庫!H42</f>
        <v>輻射霧是由於夜間地表長波輻射冷卻，使近地面空氣降溫至露點而形成，厚度較薄。日出後隨著太陽加溫地表，輻射霧會快速由下而上「漸漸消散」。相較於規模宏大的平流霧，輻射霧是「比較容易消散」的。因此 (C) 敘述為非。</v>
      </c>
    </row>
    <row r="244" spans="1:9" s="3" customFormat="1" x14ac:dyDescent="0.3">
      <c r="A244" s="2" t="s">
        <v>99</v>
      </c>
      <c r="B244" s="1"/>
      <c r="C244" s="7" t="str">
        <f>"(A.)"&amp;D243</f>
        <v>(A.)日出後漸漸消散。</v>
      </c>
      <c r="D244" s="2"/>
      <c r="E244" s="2"/>
      <c r="F244" s="2"/>
      <c r="G244" s="2"/>
      <c r="H244" s="2"/>
      <c r="I244" s="2"/>
    </row>
    <row r="245" spans="1:9" s="3" customFormat="1" x14ac:dyDescent="0.3">
      <c r="A245" s="2"/>
      <c r="B245" s="1"/>
      <c r="C245" s="7" t="str">
        <f>"(B.)"&amp;E243</f>
        <v>(B.)大都發生於冬季。</v>
      </c>
      <c r="D245" s="2"/>
      <c r="E245" s="2"/>
      <c r="F245" s="2"/>
      <c r="G245" s="2"/>
      <c r="H245" s="2"/>
      <c r="I245" s="2"/>
    </row>
    <row r="246" spans="1:9" s="3" customFormat="1" x14ac:dyDescent="0.3">
      <c r="A246" s="2"/>
      <c r="B246" s="2"/>
      <c r="C246" s="7" t="str">
        <f>"(C.)"&amp;F243</f>
        <v>(C.)相較於平流霧比較不容易消散。</v>
      </c>
      <c r="D246" s="2"/>
      <c r="E246" s="2"/>
      <c r="F246" s="2"/>
      <c r="G246" s="2"/>
      <c r="H246" s="2"/>
      <c r="I246" s="2"/>
    </row>
    <row r="247" spans="1:9" s="3" customFormat="1" x14ac:dyDescent="0.3">
      <c r="A247" s="2"/>
      <c r="B247" s="2"/>
      <c r="C247" s="7" t="str">
        <f>"(D.)"&amp;G243</f>
        <v>(D.)通常地面風速微弱、空氣穩定。</v>
      </c>
      <c r="D247" s="2"/>
      <c r="E247" s="2"/>
      <c r="F247" s="2"/>
      <c r="G247" s="2"/>
      <c r="H247" s="2"/>
      <c r="I247" s="2"/>
    </row>
    <row r="248" spans="1:9" s="3" customFormat="1" x14ac:dyDescent="0.3">
      <c r="A248" s="2"/>
      <c r="B248" s="2"/>
      <c r="C248" s="7" t="str">
        <f>"答案是： "&amp;IF(H243="A",C244,IF(H243="B",C245,IF(H243="C",C246,IF(H243=("D"),C247,"XXXX"))))</f>
        <v>答案是： (C.)相較於平流霧比較不容易消散。</v>
      </c>
      <c r="D248" s="2"/>
      <c r="E248" s="2"/>
      <c r="F248" s="2"/>
      <c r="G248" s="2"/>
      <c r="H248" s="2"/>
      <c r="I248" s="2"/>
    </row>
    <row r="249" spans="1:9" s="3" customFormat="1" ht="90" x14ac:dyDescent="0.3">
      <c r="A249" s="2"/>
      <c r="B249" s="2"/>
      <c r="C249" s="7" t="str">
        <f>"說明："&amp;I243</f>
        <v>說明：輻射霧是由於夜間地表長波輻射冷卻，使近地面空氣降溫至露點而形成，厚度較薄。日出後隨著太陽加溫地表，輻射霧會快速由下而上「漸漸消散」。相較於規模宏大的平流霧，輻射霧是「比較容易消散」的。因此 (C) 敘述為非。</v>
      </c>
      <c r="D249" s="2"/>
      <c r="E249" s="2"/>
      <c r="F249" s="2"/>
      <c r="G249" s="2"/>
      <c r="H249" s="2"/>
      <c r="I249" s="2"/>
    </row>
    <row r="250" spans="1:9" s="3" customFormat="1" ht="45" x14ac:dyDescent="0.3">
      <c r="A250" s="4" t="str">
        <f>dB題庫!A43</f>
        <v>42</v>
      </c>
      <c r="B250" s="4" t="str">
        <f>dB題庫!B43</f>
        <v>冷空氣因流經溫暖水面之蒸發作用使其中水氣增加,因而凝結成下列哪種霧的型態</v>
      </c>
      <c r="C250" s="4" t="str">
        <f t="shared" si="1"/>
        <v>42.冷空氣因流經溫暖水面之蒸發作用使其中水氣增加,因而凝結成下列哪種霧的型態</v>
      </c>
      <c r="D250" s="4" t="str">
        <f>dB題庫!C43</f>
        <v>蒸氣霧。</v>
      </c>
      <c r="E250" s="4" t="str">
        <f>dB題庫!D43</f>
        <v>輻射霧。</v>
      </c>
      <c r="F250" s="4" t="str">
        <f>dB題庫!E43</f>
        <v>山坡霧。</v>
      </c>
      <c r="G250" s="4" t="str">
        <f>dB題庫!F43</f>
        <v>鋒面霧。</v>
      </c>
      <c r="H250" s="4" t="str">
        <f>dB題庫!G43</f>
        <v>A</v>
      </c>
      <c r="I250" s="4" t="str">
        <f>dB題庫!H43</f>
        <v>當寒冷且乾燥的空氣移動到溫暖的水面上(如冬天的湖泊或溫泉)，溫暖水面快速蒸發出大量水蒸氣進入冷空氣中，隨即在冰冷的空氣中凝結成絲縷狀的霧，這種型態即稱為「蒸氣霧」(Steam Fog)。</v>
      </c>
    </row>
    <row r="251" spans="1:9" s="3" customFormat="1" x14ac:dyDescent="0.3">
      <c r="A251" s="2" t="s">
        <v>99</v>
      </c>
      <c r="B251" s="1"/>
      <c r="C251" s="7" t="str">
        <f>"(A.)"&amp;D250</f>
        <v>(A.)蒸氣霧。</v>
      </c>
      <c r="D251" s="2"/>
      <c r="E251" s="2"/>
      <c r="F251" s="2"/>
      <c r="G251" s="2"/>
      <c r="H251" s="2"/>
      <c r="I251" s="2"/>
    </row>
    <row r="252" spans="1:9" s="3" customFormat="1" x14ac:dyDescent="0.3">
      <c r="A252" s="2"/>
      <c r="B252" s="1"/>
      <c r="C252" s="7" t="str">
        <f>"(B.)"&amp;E250</f>
        <v>(B.)輻射霧。</v>
      </c>
      <c r="D252" s="2"/>
      <c r="E252" s="2"/>
      <c r="F252" s="2"/>
      <c r="G252" s="2"/>
      <c r="H252" s="2"/>
      <c r="I252" s="2"/>
    </row>
    <row r="253" spans="1:9" s="3" customFormat="1" x14ac:dyDescent="0.3">
      <c r="A253" s="2"/>
      <c r="B253" s="2"/>
      <c r="C253" s="7" t="str">
        <f>"(C.)"&amp;F250</f>
        <v>(C.)山坡霧。</v>
      </c>
      <c r="D253" s="2"/>
      <c r="E253" s="2"/>
      <c r="F253" s="2"/>
      <c r="G253" s="2"/>
      <c r="H253" s="2"/>
      <c r="I253" s="2"/>
    </row>
    <row r="254" spans="1:9" s="3" customFormat="1" x14ac:dyDescent="0.3">
      <c r="A254" s="2"/>
      <c r="B254" s="2"/>
      <c r="C254" s="7" t="str">
        <f>"(D.)"&amp;G250</f>
        <v>(D.)鋒面霧。</v>
      </c>
      <c r="D254" s="2"/>
      <c r="E254" s="2"/>
      <c r="F254" s="2"/>
      <c r="G254" s="2"/>
      <c r="H254" s="2"/>
      <c r="I254" s="2"/>
    </row>
    <row r="255" spans="1:9" s="3" customFormat="1" x14ac:dyDescent="0.3">
      <c r="A255" s="2"/>
      <c r="B255" s="2"/>
      <c r="C255" s="7" t="str">
        <f>"答案是： "&amp;IF(H250="A",C251,IF(H250="B",C252,IF(H250="C",C253,IF(H250=("D"),C254,"XXXX"))))</f>
        <v>答案是： (A.)蒸氣霧。</v>
      </c>
      <c r="D255" s="2"/>
      <c r="E255" s="2"/>
      <c r="F255" s="2"/>
      <c r="G255" s="2"/>
      <c r="H255" s="2"/>
      <c r="I255" s="2"/>
    </row>
    <row r="256" spans="1:9" s="3" customFormat="1" ht="75" x14ac:dyDescent="0.3">
      <c r="A256" s="2"/>
      <c r="B256" s="2"/>
      <c r="C256" s="7" t="str">
        <f>"說明："&amp;I250</f>
        <v>說明：當寒冷且乾燥的空氣移動到溫暖的水面上(如冬天的湖泊或溫泉)，溫暖水面快速蒸發出大量水蒸氣進入冷空氣中，隨即在冰冷的空氣中凝結成絲縷狀的霧，這種型態即稱為「蒸氣霧」(Steam Fog)。</v>
      </c>
      <c r="D256" s="2"/>
      <c r="E256" s="2"/>
      <c r="F256" s="2"/>
      <c r="G256" s="2"/>
      <c r="H256" s="2"/>
      <c r="I256" s="2"/>
    </row>
    <row r="257" spans="1:9" s="3" customFormat="1" ht="45" x14ac:dyDescent="0.3">
      <c r="A257" s="4" t="str">
        <f>dB題庫!A44</f>
        <v>43</v>
      </c>
      <c r="B257" s="4" t="str">
        <f>dB題庫!B44</f>
        <v>蒸氣霧常出現於下列哪個季節</v>
      </c>
      <c r="C257" s="4" t="str">
        <f t="shared" si="1"/>
        <v>43.蒸氣霧常出現於下列哪個季節</v>
      </c>
      <c r="D257" s="4" t="str">
        <f>dB題庫!C44</f>
        <v>春夏季節。</v>
      </c>
      <c r="E257" s="4" t="str">
        <f>dB題庫!D44</f>
        <v>夏末季節。</v>
      </c>
      <c r="F257" s="4" t="str">
        <f>dB題庫!E44</f>
        <v>秋冬季節。</v>
      </c>
      <c r="G257" s="4" t="str">
        <f>dB題庫!F44</f>
        <v>春末季節。</v>
      </c>
      <c r="H257" s="4" t="str">
        <f>dB題庫!G44</f>
        <v>C</v>
      </c>
      <c r="I257" s="4" t="str">
        <f>dB題庫!H44</f>
        <v>蒸氣霧發生的首要條件是「水面溫度顯著高於空氣溫度」。這在「秋冬季節」最為常見，此時北方冷氣團南下，空氣氣溫驟降，而大水體(如河流、海洋)由於比熱大，仍維持較高的水溫。</v>
      </c>
    </row>
    <row r="258" spans="1:9" s="3" customFormat="1" x14ac:dyDescent="0.3">
      <c r="A258" s="2" t="s">
        <v>99</v>
      </c>
      <c r="B258" s="1"/>
      <c r="C258" s="7" t="str">
        <f>"(A.)"&amp;D257</f>
        <v>(A.)春夏季節。</v>
      </c>
      <c r="D258" s="2"/>
      <c r="E258" s="2"/>
      <c r="F258" s="2"/>
      <c r="G258" s="2"/>
      <c r="H258" s="2"/>
      <c r="I258" s="2"/>
    </row>
    <row r="259" spans="1:9" s="3" customFormat="1" x14ac:dyDescent="0.3">
      <c r="A259" s="2"/>
      <c r="B259" s="1"/>
      <c r="C259" s="7" t="str">
        <f>"(B.)"&amp;E257</f>
        <v>(B.)夏末季節。</v>
      </c>
      <c r="D259" s="2"/>
      <c r="E259" s="2"/>
      <c r="F259" s="2"/>
      <c r="G259" s="2"/>
      <c r="H259" s="2"/>
      <c r="I259" s="2"/>
    </row>
    <row r="260" spans="1:9" s="3" customFormat="1" x14ac:dyDescent="0.3">
      <c r="A260" s="2"/>
      <c r="B260" s="2"/>
      <c r="C260" s="7" t="str">
        <f>"(C.)"&amp;F257</f>
        <v>(C.)秋冬季節。</v>
      </c>
      <c r="D260" s="2"/>
      <c r="E260" s="2"/>
      <c r="F260" s="2"/>
      <c r="G260" s="2"/>
      <c r="H260" s="2"/>
      <c r="I260" s="2"/>
    </row>
    <row r="261" spans="1:9" s="3" customFormat="1" x14ac:dyDescent="0.3">
      <c r="A261" s="2"/>
      <c r="B261" s="2"/>
      <c r="C261" s="7" t="str">
        <f>"(D.)"&amp;G257</f>
        <v>(D.)春末季節。</v>
      </c>
      <c r="D261" s="2"/>
      <c r="E261" s="2"/>
      <c r="F261" s="2"/>
      <c r="G261" s="2"/>
      <c r="H261" s="2"/>
      <c r="I261" s="2"/>
    </row>
    <row r="262" spans="1:9" s="3" customFormat="1" x14ac:dyDescent="0.3">
      <c r="A262" s="2"/>
      <c r="B262" s="2"/>
      <c r="C262" s="7" t="str">
        <f>"答案是： "&amp;IF(H257="A",C258,IF(H257="B",C259,IF(H257="C",C260,IF(H257=("D"),C261,"XXXX"))))</f>
        <v>答案是： (C.)秋冬季節。</v>
      </c>
      <c r="D262" s="2"/>
      <c r="E262" s="2"/>
      <c r="F262" s="2"/>
      <c r="G262" s="2"/>
      <c r="H262" s="2"/>
      <c r="I262" s="2"/>
    </row>
    <row r="263" spans="1:9" s="3" customFormat="1" ht="75" x14ac:dyDescent="0.3">
      <c r="A263" s="2"/>
      <c r="B263" s="2"/>
      <c r="C263" s="7" t="str">
        <f>"說明："&amp;I257</f>
        <v>說明：蒸氣霧發生的首要條件是「水面溫度顯著高於空氣溫度」。這在「秋冬季節」最為常見，此時北方冷氣團南下，空氣氣溫驟降，而大水體(如河流、海洋)由於比熱大，仍維持較高的水溫。</v>
      </c>
      <c r="D263" s="2"/>
      <c r="E263" s="2"/>
      <c r="F263" s="2"/>
      <c r="G263" s="2"/>
      <c r="H263" s="2"/>
      <c r="I263" s="2"/>
    </row>
    <row r="264" spans="1:9" s="3" customFormat="1" ht="45" x14ac:dyDescent="0.3">
      <c r="A264" s="4" t="str">
        <f>dB題庫!A45</f>
        <v>44</v>
      </c>
      <c r="B264" s="4" t="str">
        <f>dB題庫!B45</f>
        <v>於兩股不同性質氣團之交界面,當空氣自高空往下移動自近地面較冷空氣而凝結所成之霧,稱之</v>
      </c>
      <c r="C264" s="4" t="str">
        <f t="shared" si="1"/>
        <v>44.於兩股不同性質氣團之交界面,當空氣自高空往下移動自近地面較冷空氣而凝結所成之霧,稱之</v>
      </c>
      <c r="D264" s="4" t="str">
        <f>dB題庫!C45</f>
        <v>鋒面霧。</v>
      </c>
      <c r="E264" s="4" t="str">
        <f>dB題庫!D45</f>
        <v>山坡霧。</v>
      </c>
      <c r="F264" s="4" t="str">
        <f>dB題庫!E45</f>
        <v>輻射霧。</v>
      </c>
      <c r="G264" s="4" t="str">
        <f>dB題庫!F45</f>
        <v>蒸氣霧。</v>
      </c>
      <c r="H264" s="4" t="str">
        <f>dB題庫!G45</f>
        <v>A</v>
      </c>
      <c r="I264" s="4" t="str">
        <f>dB題庫!H45</f>
        <v>在冷暖氣團交界的鋒面附近，暖氣團的雨滴降落穿過下方的冷空氣層時，雨滴蒸發使冷空氣內的水氣達到飽和而凝結形成的霧，科學上稱為「鋒面霧」(Frontal Fog)。</v>
      </c>
    </row>
    <row r="265" spans="1:9" s="3" customFormat="1" x14ac:dyDescent="0.3">
      <c r="A265" s="2" t="s">
        <v>99</v>
      </c>
      <c r="B265" s="1"/>
      <c r="C265" s="7" t="str">
        <f>"(A.)"&amp;D264</f>
        <v>(A.)鋒面霧。</v>
      </c>
      <c r="D265" s="2"/>
      <c r="E265" s="2"/>
      <c r="F265" s="2"/>
      <c r="G265" s="2"/>
      <c r="H265" s="2"/>
      <c r="I265" s="2"/>
    </row>
    <row r="266" spans="1:9" s="3" customFormat="1" x14ac:dyDescent="0.3">
      <c r="A266" s="2"/>
      <c r="B266" s="1"/>
      <c r="C266" s="7" t="str">
        <f>"(B.)"&amp;E264</f>
        <v>(B.)山坡霧。</v>
      </c>
      <c r="D266" s="2"/>
      <c r="E266" s="2"/>
      <c r="F266" s="2"/>
      <c r="G266" s="2"/>
      <c r="H266" s="2"/>
      <c r="I266" s="2"/>
    </row>
    <row r="267" spans="1:9" s="3" customFormat="1" x14ac:dyDescent="0.3">
      <c r="A267" s="2"/>
      <c r="B267" s="2"/>
      <c r="C267" s="7" t="str">
        <f>"(C.)"&amp;F264</f>
        <v>(C.)輻射霧。</v>
      </c>
      <c r="D267" s="2"/>
      <c r="E267" s="2"/>
      <c r="F267" s="2"/>
      <c r="G267" s="2"/>
      <c r="H267" s="2"/>
      <c r="I267" s="2"/>
    </row>
    <row r="268" spans="1:9" s="3" customFormat="1" x14ac:dyDescent="0.3">
      <c r="A268" s="2"/>
      <c r="B268" s="2"/>
      <c r="C268" s="7" t="str">
        <f>"(D.)"&amp;G264</f>
        <v>(D.)蒸氣霧。</v>
      </c>
      <c r="D268" s="2"/>
      <c r="E268" s="2"/>
      <c r="F268" s="2"/>
      <c r="G268" s="2"/>
      <c r="H268" s="2"/>
      <c r="I268" s="2"/>
    </row>
    <row r="269" spans="1:9" s="3" customFormat="1" x14ac:dyDescent="0.3">
      <c r="A269" s="2"/>
      <c r="B269" s="2"/>
      <c r="C269" s="7" t="str">
        <f>"答案是： "&amp;IF(H264="A",C265,IF(H264="B",C266,IF(H264="C",C267,IF(H264=("D"),C268,"XXXX"))))</f>
        <v>答案是： (A.)鋒面霧。</v>
      </c>
      <c r="D269" s="2"/>
      <c r="E269" s="2"/>
      <c r="F269" s="2"/>
      <c r="G269" s="2"/>
      <c r="H269" s="2"/>
      <c r="I269" s="2"/>
    </row>
    <row r="270" spans="1:9" s="3" customFormat="1" ht="60" x14ac:dyDescent="0.3">
      <c r="A270" s="2"/>
      <c r="B270" s="2"/>
      <c r="C270" s="7" t="str">
        <f>"說明："&amp;I264</f>
        <v>說明：在冷暖氣團交界的鋒面附近，暖氣團的雨滴降落穿過下方的冷空氣層時，雨滴蒸發使冷空氣內的水氣達到飽和而凝結形成的霧，科學上稱為「鋒面霧」(Frontal Fog)。</v>
      </c>
      <c r="D270" s="2"/>
      <c r="E270" s="2"/>
      <c r="F270" s="2"/>
      <c r="G270" s="2"/>
      <c r="H270" s="2"/>
      <c r="I270" s="2"/>
    </row>
    <row r="271" spans="1:9" s="3" customFormat="1" ht="30" x14ac:dyDescent="0.3">
      <c r="A271" s="4" t="str">
        <f>dB題庫!A46</f>
        <v>45</v>
      </c>
      <c r="B271" s="4" t="str">
        <f>dB題庫!B46</f>
        <v>鋒面霧多伴隨何種天氣現象發生</v>
      </c>
      <c r="C271" s="4" t="str">
        <f t="shared" si="1"/>
        <v>45.鋒面霧多伴隨何種天氣現象發生</v>
      </c>
      <c r="D271" s="4" t="str">
        <f>dB題庫!C46</f>
        <v>颱風。</v>
      </c>
      <c r="E271" s="4" t="str">
        <f>dB題庫!D46</f>
        <v>鋒面。</v>
      </c>
      <c r="F271" s="4" t="str">
        <f>dB題庫!E46</f>
        <v>雷陣雨。</v>
      </c>
      <c r="G271" s="4" t="str">
        <f>dB題庫!F46</f>
        <v>龍捲風。</v>
      </c>
      <c r="H271" s="4" t="str">
        <f>dB題庫!G46</f>
        <v>B</v>
      </c>
      <c r="I271" s="4" t="str">
        <f>dB題庫!H46</f>
        <v>顧名思義，「鋒面霧」必然是緊隨「鋒面系統」的移動與過境而產生的氣象衍生現象，常伴隨著鋒面特有的連續性降雨與氣溫下降。</v>
      </c>
    </row>
    <row r="272" spans="1:9" s="3" customFormat="1" x14ac:dyDescent="0.3">
      <c r="A272" s="2" t="s">
        <v>99</v>
      </c>
      <c r="B272" s="1"/>
      <c r="C272" s="7" t="str">
        <f>"(A.)"&amp;D271</f>
        <v>(A.)颱風。</v>
      </c>
      <c r="D272" s="2"/>
      <c r="E272" s="2"/>
      <c r="F272" s="2"/>
      <c r="G272" s="2"/>
      <c r="H272" s="2"/>
      <c r="I272" s="2"/>
    </row>
    <row r="273" spans="1:9" s="3" customFormat="1" x14ac:dyDescent="0.3">
      <c r="A273" s="2"/>
      <c r="B273" s="1"/>
      <c r="C273" s="7" t="str">
        <f>"(B.)"&amp;E271</f>
        <v>(B.)鋒面。</v>
      </c>
      <c r="D273" s="2"/>
      <c r="E273" s="2"/>
      <c r="F273" s="2"/>
      <c r="G273" s="2"/>
      <c r="H273" s="2"/>
      <c r="I273" s="2"/>
    </row>
    <row r="274" spans="1:9" s="3" customFormat="1" x14ac:dyDescent="0.3">
      <c r="A274" s="2"/>
      <c r="B274" s="2"/>
      <c r="C274" s="7" t="str">
        <f>"(C.)"&amp;F271</f>
        <v>(C.)雷陣雨。</v>
      </c>
      <c r="D274" s="2"/>
      <c r="E274" s="2"/>
      <c r="F274" s="2"/>
      <c r="G274" s="2"/>
      <c r="H274" s="2"/>
      <c r="I274" s="2"/>
    </row>
    <row r="275" spans="1:9" s="3" customFormat="1" x14ac:dyDescent="0.3">
      <c r="A275" s="2"/>
      <c r="B275" s="2"/>
      <c r="C275" s="7" t="str">
        <f>"(D.)"&amp;G271</f>
        <v>(D.)龍捲風。</v>
      </c>
      <c r="D275" s="2"/>
      <c r="E275" s="2"/>
      <c r="F275" s="2"/>
      <c r="G275" s="2"/>
      <c r="H275" s="2"/>
      <c r="I275" s="2"/>
    </row>
    <row r="276" spans="1:9" s="3" customFormat="1" x14ac:dyDescent="0.3">
      <c r="A276" s="2"/>
      <c r="B276" s="2"/>
      <c r="C276" s="7" t="str">
        <f>"答案是： "&amp;IF(H271="A",C272,IF(H271="B",C273,IF(H271="C",C274,IF(H271=("D"),C275,"XXXX"))))</f>
        <v>答案是： (B.)鋒面。</v>
      </c>
      <c r="D276" s="2"/>
      <c r="E276" s="2"/>
      <c r="F276" s="2"/>
      <c r="G276" s="2"/>
      <c r="H276" s="2"/>
      <c r="I276" s="2"/>
    </row>
    <row r="277" spans="1:9" s="3" customFormat="1" ht="60" x14ac:dyDescent="0.3">
      <c r="A277" s="2"/>
      <c r="B277" s="2"/>
      <c r="C277" s="7" t="str">
        <f>"說明："&amp;I271</f>
        <v>說明：顧名思義，「鋒面霧」必然是緊隨「鋒面系統」的移動與過境而產生的氣象衍生現象，常伴隨著鋒面特有的連續性降雨與氣溫下降。</v>
      </c>
      <c r="D277" s="2"/>
      <c r="E277" s="2"/>
      <c r="F277" s="2"/>
      <c r="G277" s="2"/>
      <c r="H277" s="2"/>
      <c r="I277" s="2"/>
    </row>
    <row r="278" spans="1:9" s="3" customFormat="1" ht="45" x14ac:dyDescent="0.3">
      <c r="A278" s="4" t="str">
        <f>dB題庫!A47</f>
        <v>46</v>
      </c>
      <c r="B278" s="4" t="str">
        <f>dB題庫!B47</f>
        <v>平流和輻射兩種物理過程亦可相輔相成,造成下列哪種霧的發生</v>
      </c>
      <c r="C278" s="4" t="str">
        <f t="shared" si="1"/>
        <v>46.平流和輻射兩種物理過程亦可相輔相成,造成下列哪種霧的發生</v>
      </c>
      <c r="D278" s="4" t="str">
        <f>dB題庫!C47</f>
        <v>平流輻射霧。</v>
      </c>
      <c r="E278" s="4" t="str">
        <f>dB題庫!D47</f>
        <v>山坡霧。</v>
      </c>
      <c r="F278" s="4" t="str">
        <f>dB題庫!E47</f>
        <v>蒸氣霧。</v>
      </c>
      <c r="G278" s="4" t="str">
        <f>dB題庫!F47</f>
        <v>鋒面霧。</v>
      </c>
      <c r="H278" s="4" t="str">
        <f>dB題庫!G47</f>
        <v>A</v>
      </c>
      <c r="I278" s="4" t="str">
        <f>dB題庫!H47</f>
        <v>當暖濕空氣流經較冷的地表(平流過程)，到了夜間地表又因長波輻射進一步冷卻(輻射過程)，兩種物理效應重疊作用下所生成的霧，即被稱為「平流輻射霧」。</v>
      </c>
    </row>
    <row r="279" spans="1:9" s="3" customFormat="1" x14ac:dyDescent="0.3">
      <c r="A279" s="2" t="s">
        <v>99</v>
      </c>
      <c r="B279" s="1"/>
      <c r="C279" s="7" t="str">
        <f>"(A.)"&amp;D278</f>
        <v>(A.)平流輻射霧。</v>
      </c>
      <c r="D279" s="2"/>
      <c r="E279" s="2"/>
      <c r="F279" s="2"/>
      <c r="G279" s="2"/>
      <c r="H279" s="2"/>
      <c r="I279" s="2"/>
    </row>
    <row r="280" spans="1:9" s="3" customFormat="1" x14ac:dyDescent="0.3">
      <c r="A280" s="2"/>
      <c r="B280" s="1"/>
      <c r="C280" s="7" t="str">
        <f>"(B.)"&amp;E278</f>
        <v>(B.)山坡霧。</v>
      </c>
      <c r="D280" s="2"/>
      <c r="E280" s="2"/>
      <c r="F280" s="2"/>
      <c r="G280" s="2"/>
      <c r="H280" s="2"/>
      <c r="I280" s="2"/>
    </row>
    <row r="281" spans="1:9" s="3" customFormat="1" x14ac:dyDescent="0.3">
      <c r="A281" s="2"/>
      <c r="B281" s="2"/>
      <c r="C281" s="7" t="str">
        <f>"(C.)"&amp;F278</f>
        <v>(C.)蒸氣霧。</v>
      </c>
      <c r="D281" s="2"/>
      <c r="E281" s="2"/>
      <c r="F281" s="2"/>
      <c r="G281" s="2"/>
      <c r="H281" s="2"/>
      <c r="I281" s="2"/>
    </row>
    <row r="282" spans="1:9" s="3" customFormat="1" x14ac:dyDescent="0.3">
      <c r="A282" s="2"/>
      <c r="B282" s="2"/>
      <c r="C282" s="7" t="str">
        <f>"(D.)"&amp;G278</f>
        <v>(D.)鋒面霧。</v>
      </c>
      <c r="D282" s="2"/>
      <c r="E282" s="2"/>
      <c r="F282" s="2"/>
      <c r="G282" s="2"/>
      <c r="H282" s="2"/>
      <c r="I282" s="2"/>
    </row>
    <row r="283" spans="1:9" s="3" customFormat="1" x14ac:dyDescent="0.3">
      <c r="A283" s="2"/>
      <c r="B283" s="2"/>
      <c r="C283" s="7" t="str">
        <f>"答案是： "&amp;IF(H278="A",C279,IF(H278="B",C280,IF(H278="C",C281,IF(H278=("D"),C282,"XXXX"))))</f>
        <v>答案是： (A.)平流輻射霧。</v>
      </c>
      <c r="D283" s="2"/>
      <c r="E283" s="2"/>
      <c r="F283" s="2"/>
      <c r="G283" s="2"/>
      <c r="H283" s="2"/>
      <c r="I283" s="2"/>
    </row>
    <row r="284" spans="1:9" s="3" customFormat="1" ht="60" x14ac:dyDescent="0.3">
      <c r="A284" s="2"/>
      <c r="B284" s="2"/>
      <c r="C284" s="7" t="str">
        <f>"說明："&amp;I278</f>
        <v>說明：當暖濕空氣流經較冷的地表(平流過程)，到了夜間地表又因長波輻射進一步冷卻(輻射過程)，兩種物理效應重疊作用下所生成的霧，即被稱為「平流輻射霧」。</v>
      </c>
      <c r="D284" s="2"/>
      <c r="E284" s="2"/>
      <c r="F284" s="2"/>
      <c r="G284" s="2"/>
      <c r="H284" s="2"/>
      <c r="I284" s="2"/>
    </row>
    <row r="285" spans="1:9" s="3" customFormat="1" ht="45" x14ac:dyDescent="0.3">
      <c r="A285" s="4" t="str">
        <f>dB題庫!A48</f>
        <v>47</v>
      </c>
      <c r="B285" s="4" t="str">
        <f>dB題庫!B48</f>
        <v>當周遭空氣溫度下降至低於露點,水氣因此凝結成水滴並附著於地表或建築物上,其稱之</v>
      </c>
      <c r="C285" s="4" t="str">
        <f t="shared" si="1"/>
        <v>47.當周遭空氣溫度下降至低於露點,水氣因此凝結成水滴並附著於地表或建築物上,其稱之</v>
      </c>
      <c r="D285" s="4" t="str">
        <f>dB題庫!C48</f>
        <v>雲。</v>
      </c>
      <c r="E285" s="4" t="str">
        <f>dB題庫!D48</f>
        <v>露。</v>
      </c>
      <c r="F285" s="4" t="str">
        <f>dB題庫!E48</f>
        <v>霧。</v>
      </c>
      <c r="G285" s="4" t="str">
        <f>dB題庫!F48</f>
        <v>霜。</v>
      </c>
      <c r="H285" s="4" t="str">
        <f>dB題庫!G48</f>
        <v>B</v>
      </c>
      <c r="I285" s="4" t="str">
        <f>dB題庫!H48</f>
        <v>在晴朗無風的夜晚，地面物體因輻射冷卻降溫，當其表面溫度低於周遭空氣的露點時，空氣中的水氣便會直接在植物葉片、建築物或地表凝結成小水滴，這就是「露」(Dew)。</v>
      </c>
    </row>
    <row r="286" spans="1:9" s="3" customFormat="1" x14ac:dyDescent="0.3">
      <c r="A286" s="2" t="s">
        <v>99</v>
      </c>
      <c r="B286" s="1"/>
      <c r="C286" s="7" t="str">
        <f>"(A.)"&amp;D285</f>
        <v>(A.)雲。</v>
      </c>
      <c r="D286" s="2"/>
      <c r="E286" s="2"/>
      <c r="F286" s="2"/>
      <c r="G286" s="2"/>
      <c r="H286" s="2"/>
      <c r="I286" s="2"/>
    </row>
    <row r="287" spans="1:9" s="3" customFormat="1" x14ac:dyDescent="0.3">
      <c r="A287" s="2"/>
      <c r="B287" s="1"/>
      <c r="C287" s="7" t="str">
        <f>"(B.)"&amp;E285</f>
        <v>(B.)露。</v>
      </c>
      <c r="D287" s="2"/>
      <c r="E287" s="2"/>
      <c r="F287" s="2"/>
      <c r="G287" s="2"/>
      <c r="H287" s="2"/>
      <c r="I287" s="2"/>
    </row>
    <row r="288" spans="1:9" s="3" customFormat="1" x14ac:dyDescent="0.3">
      <c r="A288" s="2"/>
      <c r="B288" s="2"/>
      <c r="C288" s="7" t="str">
        <f>"(C.)"&amp;F285</f>
        <v>(C.)霧。</v>
      </c>
      <c r="D288" s="2"/>
      <c r="E288" s="2"/>
      <c r="F288" s="2"/>
      <c r="G288" s="2"/>
      <c r="H288" s="2"/>
      <c r="I288" s="2"/>
    </row>
    <row r="289" spans="1:9" s="3" customFormat="1" x14ac:dyDescent="0.3">
      <c r="A289" s="2"/>
      <c r="B289" s="2"/>
      <c r="C289" s="7" t="str">
        <f>"(D.)"&amp;G285</f>
        <v>(D.)霜。</v>
      </c>
      <c r="D289" s="2"/>
      <c r="E289" s="2"/>
      <c r="F289" s="2"/>
      <c r="G289" s="2"/>
      <c r="H289" s="2"/>
      <c r="I289" s="2"/>
    </row>
    <row r="290" spans="1:9" s="3" customFormat="1" x14ac:dyDescent="0.3">
      <c r="A290" s="2"/>
      <c r="B290" s="2"/>
      <c r="C290" s="7" t="str">
        <f>"答案是： "&amp;IF(H285="A",C286,IF(H285="B",C287,IF(H285="C",C288,IF(H285=("D"),C289,"XXXX"))))</f>
        <v>答案是： (B.)露。</v>
      </c>
      <c r="D290" s="2"/>
      <c r="E290" s="2"/>
      <c r="F290" s="2"/>
      <c r="G290" s="2"/>
      <c r="H290" s="2"/>
      <c r="I290" s="2"/>
    </row>
    <row r="291" spans="1:9" s="3" customFormat="1" ht="60" x14ac:dyDescent="0.3">
      <c r="A291" s="2"/>
      <c r="B291" s="2"/>
      <c r="C291" s="7" t="str">
        <f>"說明："&amp;I285</f>
        <v>說明：在晴朗無風的夜晚，地面物體因輻射冷卻降溫，當其表面溫度低於周遭空氣的露點時，空氣中的水氣便會直接在植物葉片、建築物或地表凝結成小水滴，這就是「露」(Dew)。</v>
      </c>
      <c r="D291" s="2"/>
      <c r="E291" s="2"/>
      <c r="F291" s="2"/>
      <c r="G291" s="2"/>
      <c r="H291" s="2"/>
      <c r="I291" s="2"/>
    </row>
    <row r="292" spans="1:9" s="3" customFormat="1" ht="60" x14ac:dyDescent="0.3">
      <c r="A292" s="4" t="str">
        <f>dB題庫!A49</f>
        <v>48</v>
      </c>
      <c r="B292" s="4" t="str">
        <f>dB題庫!B49</f>
        <v>附著於航空器上之露珠若凝結成固態霜,對飛航安全有何影響</v>
      </c>
      <c r="C292" s="4" t="str">
        <f t="shared" si="1"/>
        <v>48.附著於航空器上之露珠若凝結成固態霜,對飛航安全有何影響</v>
      </c>
      <c r="D292" s="4" t="str">
        <f>dB題庫!C49</f>
        <v>對飛安有幫助。</v>
      </c>
      <c r="E292" s="4" t="str">
        <f>dB題庫!D49</f>
        <v>對飛安可能造成危害。</v>
      </c>
      <c r="F292" s="4" t="str">
        <f>dB題庫!E49</f>
        <v>對飛安並無影響。</v>
      </c>
      <c r="G292" s="4" t="str">
        <f>dB題庫!F49</f>
        <v>對飛安有時可能造成危害有時無影響。</v>
      </c>
      <c r="H292" s="4" t="str">
        <f>dB題庫!G49</f>
        <v>B</v>
      </c>
      <c r="I292" s="4" t="str">
        <f>dB題庫!H49</f>
        <v>當露珠因氣溫降至冰點以下結成固態霜時，粗糙的結霜表面會破壞機翼原有的流線型設計，導致流經機翼的空氣層流轉變為紊流，這「對飛安可能造成嚴重危害」(降低升力、大幅增加阻力、甚至使無人機提早失速墜毀)。</v>
      </c>
    </row>
    <row r="293" spans="1:9" s="3" customFormat="1" x14ac:dyDescent="0.3">
      <c r="A293" s="2" t="s">
        <v>99</v>
      </c>
      <c r="B293" s="1"/>
      <c r="C293" s="7" t="str">
        <f>"(A.)"&amp;D292</f>
        <v>(A.)對飛安有幫助。</v>
      </c>
      <c r="D293" s="2"/>
      <c r="E293" s="2"/>
      <c r="F293" s="2"/>
      <c r="G293" s="2"/>
      <c r="H293" s="2"/>
      <c r="I293" s="2"/>
    </row>
    <row r="294" spans="1:9" s="3" customFormat="1" x14ac:dyDescent="0.3">
      <c r="A294" s="2"/>
      <c r="B294" s="1"/>
      <c r="C294" s="7" t="str">
        <f>"(B.)"&amp;E292</f>
        <v>(B.)對飛安可能造成危害。</v>
      </c>
      <c r="D294" s="2"/>
      <c r="E294" s="2"/>
      <c r="F294" s="2"/>
      <c r="G294" s="2"/>
      <c r="H294" s="2"/>
      <c r="I294" s="2"/>
    </row>
    <row r="295" spans="1:9" s="3" customFormat="1" x14ac:dyDescent="0.3">
      <c r="A295" s="2"/>
      <c r="B295" s="2"/>
      <c r="C295" s="7" t="str">
        <f>"(C.)"&amp;F292</f>
        <v>(C.)對飛安並無影響。</v>
      </c>
      <c r="D295" s="2"/>
      <c r="E295" s="2"/>
      <c r="F295" s="2"/>
      <c r="G295" s="2"/>
      <c r="H295" s="2"/>
      <c r="I295" s="2"/>
    </row>
    <row r="296" spans="1:9" s="3" customFormat="1" x14ac:dyDescent="0.3">
      <c r="A296" s="2"/>
      <c r="B296" s="2"/>
      <c r="C296" s="7" t="str">
        <f>"(D.)"&amp;G292</f>
        <v>(D.)對飛安有時可能造成危害有時無影響。</v>
      </c>
      <c r="D296" s="2"/>
      <c r="E296" s="2"/>
      <c r="F296" s="2"/>
      <c r="G296" s="2"/>
      <c r="H296" s="2"/>
      <c r="I296" s="2"/>
    </row>
    <row r="297" spans="1:9" s="3" customFormat="1" x14ac:dyDescent="0.3">
      <c r="A297" s="2"/>
      <c r="B297" s="2"/>
      <c r="C297" s="7" t="str">
        <f>"答案是： "&amp;IF(H292="A",C293,IF(H292="B",C294,IF(H292="C",C295,IF(H292=("D"),C296,"XXXX"))))</f>
        <v>答案是： (B.)對飛安可能造成危害。</v>
      </c>
      <c r="D297" s="2"/>
      <c r="E297" s="2"/>
      <c r="F297" s="2"/>
      <c r="G297" s="2"/>
      <c r="H297" s="2"/>
      <c r="I297" s="2"/>
    </row>
    <row r="298" spans="1:9" s="3" customFormat="1" ht="75" x14ac:dyDescent="0.3">
      <c r="A298" s="2"/>
      <c r="B298" s="2"/>
      <c r="C298" s="7" t="str">
        <f>"說明："&amp;I292</f>
        <v>說明：當露珠因氣溫降至冰點以下結成固態霜時，粗糙的結霜表面會破壞機翼原有的流線型設計，導致流經機翼的空氣層流轉變為紊流，這「對飛安可能造成嚴重危害」(降低升力、大幅增加阻力、甚至使無人機提早失速墜毀)。</v>
      </c>
      <c r="D298" s="2"/>
      <c r="E298" s="2"/>
      <c r="F298" s="2"/>
      <c r="G298" s="2"/>
      <c r="H298" s="2"/>
      <c r="I298" s="2"/>
    </row>
    <row r="299" spans="1:9" s="3" customFormat="1" ht="45" x14ac:dyDescent="0.3">
      <c r="A299" s="4" t="str">
        <f>dB題庫!A50</f>
        <v>49</v>
      </c>
      <c r="B299" s="4" t="str">
        <f>dB題庫!B50</f>
        <v>附著於機體表面的霜在飛行時不會產生下列哪種情形</v>
      </c>
      <c r="C299" s="4" t="str">
        <f t="shared" si="1"/>
        <v>49.附著於機體表面的霜在飛行時不會產生下列哪種情形</v>
      </c>
      <c r="D299" s="4" t="str">
        <f>dB題庫!C50</f>
        <v>擾動流經機翼之空氣。</v>
      </c>
      <c r="E299" s="4" t="str">
        <f>dB題庫!D50</f>
        <v>降低升力。</v>
      </c>
      <c r="F299" s="4" t="str">
        <f>dB題庫!E50</f>
        <v>增加阻力。</v>
      </c>
      <c r="G299" s="4" t="str">
        <f>dB題庫!F50</f>
        <v>增加飛航效率。</v>
      </c>
      <c r="H299" s="4" t="str">
        <f>dB題庫!G50</f>
        <v>D</v>
      </c>
      <c r="I299" s="4" t="str">
        <f>dB題庫!H50</f>
        <v>結霜會使機翼表面變得極度粗糙，進而擾動流經機翼的層流空氣、大幅降低機翼產生的升力並增加摩擦與形狀阻力。霜絕對「不會」帶來增加飛航效率的正面效果。</v>
      </c>
    </row>
    <row r="300" spans="1:9" s="3" customFormat="1" x14ac:dyDescent="0.3">
      <c r="A300" s="2" t="s">
        <v>99</v>
      </c>
      <c r="B300" s="1"/>
      <c r="C300" s="7" t="str">
        <f>"(A.)"&amp;D299</f>
        <v>(A.)擾動流經機翼之空氣。</v>
      </c>
      <c r="D300" s="2"/>
      <c r="E300" s="2"/>
      <c r="F300" s="2"/>
      <c r="G300" s="2"/>
      <c r="H300" s="2"/>
      <c r="I300" s="2"/>
    </row>
    <row r="301" spans="1:9" s="3" customFormat="1" x14ac:dyDescent="0.3">
      <c r="A301" s="2"/>
      <c r="B301" s="1"/>
      <c r="C301" s="7" t="str">
        <f>"(B.)"&amp;E299</f>
        <v>(B.)降低升力。</v>
      </c>
      <c r="D301" s="2"/>
      <c r="E301" s="2"/>
      <c r="F301" s="2"/>
      <c r="G301" s="2"/>
      <c r="H301" s="2"/>
      <c r="I301" s="2"/>
    </row>
    <row r="302" spans="1:9" s="3" customFormat="1" x14ac:dyDescent="0.3">
      <c r="A302" s="2"/>
      <c r="B302" s="2"/>
      <c r="C302" s="7" t="str">
        <f>"(C.)"&amp;F299</f>
        <v>(C.)增加阻力。</v>
      </c>
      <c r="D302" s="2"/>
      <c r="E302" s="2"/>
      <c r="F302" s="2"/>
      <c r="G302" s="2"/>
      <c r="H302" s="2"/>
      <c r="I302" s="2"/>
    </row>
    <row r="303" spans="1:9" s="3" customFormat="1" x14ac:dyDescent="0.3">
      <c r="A303" s="2"/>
      <c r="B303" s="2"/>
      <c r="C303" s="7" t="str">
        <f>"(D.)"&amp;G299</f>
        <v>(D.)增加飛航效率。</v>
      </c>
      <c r="D303" s="2"/>
      <c r="E303" s="2"/>
      <c r="F303" s="2"/>
      <c r="G303" s="2"/>
      <c r="H303" s="2"/>
      <c r="I303" s="2"/>
    </row>
    <row r="304" spans="1:9" s="3" customFormat="1" x14ac:dyDescent="0.3">
      <c r="A304" s="2"/>
      <c r="B304" s="2"/>
      <c r="C304" s="7" t="str">
        <f>"答案是： "&amp;IF(H299="A",C300,IF(H299="B",C301,IF(H299="C",C302,IF(H299=("D"),C303,"XXXX"))))</f>
        <v>答案是： (D.)增加飛航效率。</v>
      </c>
      <c r="D304" s="2"/>
      <c r="E304" s="2"/>
      <c r="F304" s="2"/>
      <c r="G304" s="2"/>
      <c r="H304" s="2"/>
      <c r="I304" s="2"/>
    </row>
    <row r="305" spans="1:9" s="3" customFormat="1" ht="60" x14ac:dyDescent="0.3">
      <c r="A305" s="2"/>
      <c r="B305" s="2"/>
      <c r="C305" s="7" t="str">
        <f>"說明："&amp;I299</f>
        <v>說明：結霜會使機翼表面變得極度粗糙，進而擾動流經機翼的層流空氣、大幅降低機翼產生的升力並增加摩擦與形狀阻力。霜絕對「不會」帶來增加飛航效率的正面效果。</v>
      </c>
      <c r="D305" s="2"/>
      <c r="E305" s="2"/>
      <c r="F305" s="2"/>
      <c r="G305" s="2"/>
      <c r="H305" s="2"/>
      <c r="I305" s="2"/>
    </row>
    <row r="306" spans="1:9" s="3" customFormat="1" ht="45" x14ac:dyDescent="0.3">
      <c r="A306" s="4" t="str">
        <f>dB題庫!A51</f>
        <v>50</v>
      </c>
      <c r="B306" s="4" t="str">
        <f>dB題庫!B51</f>
        <v>於大陸型氣候區域執行深秋早晨之飛行任務前,務必進行下列哪個程序以確保安全</v>
      </c>
      <c r="C306" s="4" t="str">
        <f t="shared" si="1"/>
        <v>50.於大陸型氣候區域執行深秋早晨之飛行任務前,務必進行下列哪個程序以確保安全</v>
      </c>
      <c r="D306" s="4" t="str">
        <f>dB題庫!C51</f>
        <v>暖身程序。</v>
      </c>
      <c r="E306" s="4" t="str">
        <f>dB題庫!D51</f>
        <v>點名程序。</v>
      </c>
      <c r="F306" s="4" t="str">
        <f>dB題庫!E51</f>
        <v>除霜程序。</v>
      </c>
      <c r="G306" s="4" t="str">
        <f>dB題庫!F51</f>
        <v>冥想程序。</v>
      </c>
      <c r="H306" s="4" t="str">
        <f>dB題庫!G51</f>
        <v>C</v>
      </c>
      <c r="I306" s="4" t="str">
        <f>dB題庫!H51</f>
        <v>在大陸型氣候的深秋早晨，夜間強烈輻射冷卻常使停放在戶外或機庫的無人機表面覆蓋一層薄霜。在起飛前「務必徹底執行除霜程序」，清除所有翼面的冰霜，才能保證正常的動態升力與飛行安全。</v>
      </c>
    </row>
    <row r="307" spans="1:9" s="3" customFormat="1" x14ac:dyDescent="0.3">
      <c r="A307" s="2" t="s">
        <v>99</v>
      </c>
      <c r="B307" s="1"/>
      <c r="C307" s="7" t="str">
        <f>"(A.)"&amp;D306</f>
        <v>(A.)暖身程序。</v>
      </c>
      <c r="D307" s="2"/>
      <c r="E307" s="2"/>
      <c r="F307" s="2"/>
      <c r="G307" s="2"/>
      <c r="H307" s="2"/>
      <c r="I307" s="2"/>
    </row>
    <row r="308" spans="1:9" s="3" customFormat="1" x14ac:dyDescent="0.3">
      <c r="A308" s="2"/>
      <c r="B308" s="1"/>
      <c r="C308" s="7" t="str">
        <f>"(B.)"&amp;E306</f>
        <v>(B.)點名程序。</v>
      </c>
      <c r="D308" s="2"/>
      <c r="E308" s="2"/>
      <c r="F308" s="2"/>
      <c r="G308" s="2"/>
      <c r="H308" s="2"/>
      <c r="I308" s="2"/>
    </row>
    <row r="309" spans="1:9" s="3" customFormat="1" x14ac:dyDescent="0.3">
      <c r="A309" s="2"/>
      <c r="B309" s="2"/>
      <c r="C309" s="7" t="str">
        <f>"(C.)"&amp;F306</f>
        <v>(C.)除霜程序。</v>
      </c>
      <c r="D309" s="2"/>
      <c r="E309" s="2"/>
      <c r="F309" s="2"/>
      <c r="G309" s="2"/>
      <c r="H309" s="2"/>
      <c r="I309" s="2"/>
    </row>
    <row r="310" spans="1:9" s="3" customFormat="1" x14ac:dyDescent="0.3">
      <c r="A310" s="2"/>
      <c r="B310" s="2"/>
      <c r="C310" s="7" t="str">
        <f>"(D.)"&amp;G306</f>
        <v>(D.)冥想程序。</v>
      </c>
      <c r="D310" s="2"/>
      <c r="E310" s="2"/>
      <c r="F310" s="2"/>
      <c r="G310" s="2"/>
      <c r="H310" s="2"/>
      <c r="I310" s="2"/>
    </row>
    <row r="311" spans="1:9" s="3" customFormat="1" x14ac:dyDescent="0.3">
      <c r="A311" s="2"/>
      <c r="B311" s="2"/>
      <c r="C311" s="7" t="str">
        <f>"答案是： "&amp;IF(H306="A",C307,IF(H306="B",C308,IF(H306="C",C309,IF(H306=("D"),C310,"XXXX"))))</f>
        <v>答案是： (C.)除霜程序。</v>
      </c>
      <c r="D311" s="2"/>
      <c r="E311" s="2"/>
      <c r="F311" s="2"/>
      <c r="G311" s="2"/>
      <c r="H311" s="2"/>
      <c r="I311" s="2"/>
    </row>
    <row r="312" spans="1:9" s="3" customFormat="1" ht="75" x14ac:dyDescent="0.3">
      <c r="A312" s="2"/>
      <c r="B312" s="2"/>
      <c r="C312" s="7" t="str">
        <f>"說明："&amp;I306</f>
        <v>說明：在大陸型氣候的深秋早晨，夜間強烈輻射冷卻常使停放在戶外或機庫的無人機表面覆蓋一層薄霜。在起飛前「務必徹底執行除霜程序」，清除所有翼面的冰霜，才能保證正常的動態升力與飛行安全。</v>
      </c>
      <c r="D312" s="2"/>
      <c r="E312" s="2"/>
      <c r="F312" s="2"/>
      <c r="G312" s="2"/>
      <c r="H312" s="2"/>
      <c r="I312" s="2"/>
    </row>
    <row r="313" spans="1:9" s="3" customFormat="1" ht="45" x14ac:dyDescent="0.3">
      <c r="A313" s="4" t="str">
        <f>dB題庫!A52</f>
        <v>51</v>
      </c>
      <c r="B313" s="4" t="str">
        <f>dB題庫!B52</f>
        <v>雲有下列哪幾種型態</v>
      </c>
      <c r="C313" s="4" t="str">
        <f t="shared" si="1"/>
        <v>51.雲有下列哪幾種型態</v>
      </c>
      <c r="D313" s="4" t="str">
        <f>dB題庫!C52</f>
        <v>積狀雲。</v>
      </c>
      <c r="E313" s="4" t="str">
        <f>dB題庫!D52</f>
        <v>層狀雲。</v>
      </c>
      <c r="F313" s="4" t="str">
        <f>dB題庫!E52</f>
        <v>卷狀雲。</v>
      </c>
      <c r="G313" s="4" t="str">
        <f>dB題庫!F52</f>
        <v>以上皆是。</v>
      </c>
      <c r="H313" s="4" t="str">
        <f>dB題庫!G52</f>
        <v>D</v>
      </c>
      <c r="I313" s="4" t="str">
        <f>dB題庫!H52</f>
        <v>世界氣象組織依據外觀形態將大氣中的雲基本歸納為三大類：垂直發展多如棉花結構的「積狀雲」、均勻鋪展如帷幕的「層狀雲」，以及由冰晶組成呈羽毛絲縷狀的「卷狀雲」。</v>
      </c>
    </row>
    <row r="314" spans="1:9" s="3" customFormat="1" x14ac:dyDescent="0.3">
      <c r="A314" s="2" t="s">
        <v>99</v>
      </c>
      <c r="B314" s="1"/>
      <c r="C314" s="7" t="str">
        <f>"(A.)"&amp;D313</f>
        <v>(A.)積狀雲。</v>
      </c>
      <c r="D314" s="2"/>
      <c r="E314" s="2"/>
      <c r="F314" s="2"/>
      <c r="G314" s="2"/>
      <c r="H314" s="2"/>
      <c r="I314" s="2"/>
    </row>
    <row r="315" spans="1:9" s="3" customFormat="1" x14ac:dyDescent="0.3">
      <c r="A315" s="2"/>
      <c r="B315" s="1"/>
      <c r="C315" s="7" t="str">
        <f>"(B.)"&amp;E313</f>
        <v>(B.)層狀雲。</v>
      </c>
      <c r="D315" s="2"/>
      <c r="E315" s="2"/>
      <c r="F315" s="2"/>
      <c r="G315" s="2"/>
      <c r="H315" s="2"/>
      <c r="I315" s="2"/>
    </row>
    <row r="316" spans="1:9" s="3" customFormat="1" x14ac:dyDescent="0.3">
      <c r="A316" s="2"/>
      <c r="B316" s="2"/>
      <c r="C316" s="7" t="str">
        <f>"(C.)"&amp;F313</f>
        <v>(C.)卷狀雲。</v>
      </c>
      <c r="D316" s="2"/>
      <c r="E316" s="2"/>
      <c r="F316" s="2"/>
      <c r="G316" s="2"/>
      <c r="H316" s="2"/>
      <c r="I316" s="2"/>
    </row>
    <row r="317" spans="1:9" s="3" customFormat="1" x14ac:dyDescent="0.3">
      <c r="A317" s="2"/>
      <c r="B317" s="2"/>
      <c r="C317" s="7" t="str">
        <f>"(D.)"&amp;G313</f>
        <v>(D.)以上皆是。</v>
      </c>
      <c r="D317" s="2"/>
      <c r="E317" s="2"/>
      <c r="F317" s="2"/>
      <c r="G317" s="2"/>
      <c r="H317" s="2"/>
      <c r="I317" s="2"/>
    </row>
    <row r="318" spans="1:9" s="3" customFormat="1" x14ac:dyDescent="0.3">
      <c r="A318" s="2"/>
      <c r="B318" s="2"/>
      <c r="C318" s="7" t="str">
        <f>"答案是： "&amp;IF(H313="A",C314,IF(H313="B",C315,IF(H313="C",C316,IF(H313=("D"),C317,"XXXX"))))</f>
        <v>答案是： (D.)以上皆是。</v>
      </c>
      <c r="D318" s="2"/>
      <c r="E318" s="2"/>
      <c r="F318" s="2"/>
      <c r="G318" s="2"/>
      <c r="H318" s="2"/>
      <c r="I318" s="2"/>
    </row>
    <row r="319" spans="1:9" s="3" customFormat="1" ht="75" x14ac:dyDescent="0.3">
      <c r="A319" s="2"/>
      <c r="B319" s="2"/>
      <c r="C319" s="7" t="str">
        <f>"說明："&amp;I313</f>
        <v>說明：世界氣象組織依據外觀形態將大氣中的雲基本歸納為三大類：垂直發展多如棉花結構的「積狀雲」、均勻鋪展如帷幕的「層狀雲」，以及由冰晶組成呈羽毛絲縷狀的「卷狀雲」。</v>
      </c>
      <c r="D319" s="2"/>
      <c r="E319" s="2"/>
      <c r="F319" s="2"/>
      <c r="G319" s="2"/>
      <c r="H319" s="2"/>
      <c r="I319" s="2"/>
    </row>
    <row r="320" spans="1:9" s="3" customFormat="1" ht="45" x14ac:dyDescent="0.3">
      <c r="A320" s="4" t="str">
        <f>dB題庫!A53</f>
        <v>52</v>
      </c>
      <c r="B320" s="4" t="str">
        <f>dB題庫!B53</f>
        <v>雲的型態依據雲所在的高度可以分成下列哪幾種</v>
      </c>
      <c r="C320" s="4" t="str">
        <f t="shared" si="1"/>
        <v>52.雲的型態依據雲所在的高度可以分成下列哪幾種</v>
      </c>
      <c r="D320" s="4" t="str">
        <f>dB題庫!C53</f>
        <v>高雲族。</v>
      </c>
      <c r="E320" s="4" t="str">
        <f>dB題庫!D53</f>
        <v>中雲族。</v>
      </c>
      <c r="F320" s="4" t="str">
        <f>dB題庫!E53</f>
        <v>低雲族。</v>
      </c>
      <c r="G320" s="4" t="str">
        <f>dB題庫!F53</f>
        <v>以上皆是。</v>
      </c>
      <c r="H320" s="4" t="str">
        <f>dB題庫!G53</f>
        <v>D</v>
      </c>
      <c r="I320" s="4" t="str">
        <f>dB題庫!H53</f>
        <v>在氣象分類學中，雲按照其底部的平均海拔高度，常規地被劃分為四大雲族：高雲族、中雲族、低雲族以及直展雲族(垂直發展雲)。因此選項包含的高、中、低雲族皆是。</v>
      </c>
    </row>
    <row r="321" spans="1:9" s="3" customFormat="1" x14ac:dyDescent="0.3">
      <c r="A321" s="2" t="s">
        <v>99</v>
      </c>
      <c r="B321" s="1"/>
      <c r="C321" s="7" t="str">
        <f>"(A.)"&amp;D320</f>
        <v>(A.)高雲族。</v>
      </c>
      <c r="D321" s="2"/>
      <c r="E321" s="2"/>
      <c r="F321" s="2"/>
      <c r="G321" s="2"/>
      <c r="H321" s="2"/>
      <c r="I321" s="2"/>
    </row>
    <row r="322" spans="1:9" s="3" customFormat="1" x14ac:dyDescent="0.3">
      <c r="A322" s="2"/>
      <c r="B322" s="1"/>
      <c r="C322" s="7" t="str">
        <f>"(B.)"&amp;E320</f>
        <v>(B.)中雲族。</v>
      </c>
      <c r="D322" s="2"/>
      <c r="E322" s="2"/>
      <c r="F322" s="2"/>
      <c r="G322" s="2"/>
      <c r="H322" s="2"/>
      <c r="I322" s="2"/>
    </row>
    <row r="323" spans="1:9" s="3" customFormat="1" x14ac:dyDescent="0.3">
      <c r="A323" s="2"/>
      <c r="B323" s="2"/>
      <c r="C323" s="7" t="str">
        <f>"(C.)"&amp;F320</f>
        <v>(C.)低雲族。</v>
      </c>
      <c r="D323" s="2"/>
      <c r="E323" s="2"/>
      <c r="F323" s="2"/>
      <c r="G323" s="2"/>
      <c r="H323" s="2"/>
      <c r="I323" s="2"/>
    </row>
    <row r="324" spans="1:9" s="3" customFormat="1" x14ac:dyDescent="0.3">
      <c r="A324" s="2"/>
      <c r="B324" s="2"/>
      <c r="C324" s="7" t="str">
        <f>"(D.)"&amp;G320</f>
        <v>(D.)以上皆是。</v>
      </c>
      <c r="D324" s="2"/>
      <c r="E324" s="2"/>
      <c r="F324" s="2"/>
      <c r="G324" s="2"/>
      <c r="H324" s="2"/>
      <c r="I324" s="2"/>
    </row>
    <row r="325" spans="1:9" s="3" customFormat="1" x14ac:dyDescent="0.3">
      <c r="A325" s="2"/>
      <c r="B325" s="2"/>
      <c r="C325" s="7" t="str">
        <f>"答案是： "&amp;IF(H320="A",C321,IF(H320="B",C322,IF(H320="C",C323,IF(H320=("D"),C324,"XXXX"))))</f>
        <v>答案是： (D.)以上皆是。</v>
      </c>
      <c r="D325" s="2"/>
      <c r="E325" s="2"/>
      <c r="F325" s="2"/>
      <c r="G325" s="2"/>
      <c r="H325" s="2"/>
      <c r="I325" s="2"/>
    </row>
    <row r="326" spans="1:9" s="3" customFormat="1" ht="60" x14ac:dyDescent="0.3">
      <c r="A326" s="2"/>
      <c r="B326" s="2"/>
      <c r="C326" s="7" t="str">
        <f>"說明："&amp;I320</f>
        <v>說明：在氣象分類學中，雲按照其底部的平均海拔高度，常規地被劃分為四大雲族：高雲族、中雲族、低雲族以及直展雲族(垂直發展雲)。因此選項包含的高、中、低雲族皆是。</v>
      </c>
      <c r="D326" s="2"/>
      <c r="E326" s="2"/>
      <c r="F326" s="2"/>
      <c r="G326" s="2"/>
      <c r="H326" s="2"/>
      <c r="I326" s="2"/>
    </row>
    <row r="327" spans="1:9" s="3" customFormat="1" ht="60" x14ac:dyDescent="0.3">
      <c r="A327" s="4" t="str">
        <f>dB題庫!A54</f>
        <v>53</v>
      </c>
      <c r="B327" s="4" t="str">
        <f>dB題庫!B54</f>
        <v>高雲族高度大約在6,000公尺以上,主要有下列哪幾種</v>
      </c>
      <c r="C327" s="4" t="str">
        <f t="shared" si="1"/>
        <v>53.高雲族高度大約在6,000公尺以上,主要有下列哪幾種</v>
      </c>
      <c r="D327" s="4" t="str">
        <f>dB題庫!C54</f>
        <v>卷雲。</v>
      </c>
      <c r="E327" s="4" t="str">
        <f>dB題庫!D54</f>
        <v>卷層雲。</v>
      </c>
      <c r="F327" s="4" t="str">
        <f>dB題庫!E54</f>
        <v>卷積雲。</v>
      </c>
      <c r="G327" s="4" t="str">
        <f>dB題庫!F54</f>
        <v>以上皆是。</v>
      </c>
      <c r="H327" s="4" t="str">
        <f>dB題庫!G54</f>
        <v>D</v>
      </c>
      <c r="I327" s="4" t="str">
        <f>dB題庫!H54</f>
        <v>高度在 6,000 公尺以上的高空，氣溫極低，雲完全由冰晶構成。高雲族主要包括：薄絲狀的「卷雲」、覆蓋全天的「卷層雲」以及呈小鱗片狀的「卷積雲」，皆字帶「卷」字。
【】高6卷</v>
      </c>
    </row>
    <row r="328" spans="1:9" s="3" customFormat="1" x14ac:dyDescent="0.3">
      <c r="A328" s="2" t="s">
        <v>99</v>
      </c>
      <c r="B328" s="1"/>
      <c r="C328" s="7" t="str">
        <f>"(A.)"&amp;D327</f>
        <v>(A.)卷雲。</v>
      </c>
      <c r="D328" s="2"/>
      <c r="E328" s="2"/>
      <c r="F328" s="2"/>
      <c r="G328" s="2"/>
      <c r="H328" s="2"/>
      <c r="I328" s="2"/>
    </row>
    <row r="329" spans="1:9" s="3" customFormat="1" x14ac:dyDescent="0.3">
      <c r="A329" s="2"/>
      <c r="B329" s="1"/>
      <c r="C329" s="7" t="str">
        <f>"(B.)"&amp;E327</f>
        <v>(B.)卷層雲。</v>
      </c>
      <c r="D329" s="2"/>
      <c r="E329" s="2"/>
      <c r="F329" s="2"/>
      <c r="G329" s="2"/>
      <c r="H329" s="2"/>
      <c r="I329" s="2"/>
    </row>
    <row r="330" spans="1:9" s="3" customFormat="1" x14ac:dyDescent="0.3">
      <c r="A330" s="2"/>
      <c r="B330" s="2"/>
      <c r="C330" s="7" t="str">
        <f>"(C.)"&amp;F327</f>
        <v>(C.)卷積雲。</v>
      </c>
      <c r="D330" s="2"/>
      <c r="E330" s="2"/>
      <c r="F330" s="2"/>
      <c r="G330" s="2"/>
      <c r="H330" s="2"/>
      <c r="I330" s="2"/>
    </row>
    <row r="331" spans="1:9" s="3" customFormat="1" x14ac:dyDescent="0.3">
      <c r="A331" s="2"/>
      <c r="B331" s="2"/>
      <c r="C331" s="7" t="str">
        <f>"(D.)"&amp;G327</f>
        <v>(D.)以上皆是。</v>
      </c>
      <c r="D331" s="2"/>
      <c r="E331" s="2"/>
      <c r="F331" s="2"/>
      <c r="G331" s="2"/>
      <c r="H331" s="2"/>
      <c r="I331" s="2"/>
    </row>
    <row r="332" spans="1:9" s="3" customFormat="1" x14ac:dyDescent="0.3">
      <c r="A332" s="2"/>
      <c r="B332" s="2"/>
      <c r="C332" s="7" t="str">
        <f>"答案是： "&amp;IF(H327="A",C328,IF(H327="B",C329,IF(H327="C",C330,IF(H327=("D"),C331,"XXXX"))))</f>
        <v>答案是： (D.)以上皆是。</v>
      </c>
      <c r="D332" s="2"/>
      <c r="E332" s="2"/>
      <c r="F332" s="2"/>
      <c r="G332" s="2"/>
      <c r="H332" s="2"/>
      <c r="I332" s="2"/>
    </row>
    <row r="333" spans="1:9" s="3" customFormat="1" ht="75" x14ac:dyDescent="0.3">
      <c r="A333" s="2"/>
      <c r="B333" s="2"/>
      <c r="C333" s="7" t="str">
        <f>"說明："&amp;I327</f>
        <v>說明：高度在 6,000 公尺以上的高空，氣溫極低，雲完全由冰晶構成。高雲族主要包括：薄絲狀的「卷雲」、覆蓋全天的「卷層雲」以及呈小鱗片狀的「卷積雲」，皆字帶「卷」字。
【】高6卷</v>
      </c>
      <c r="D333" s="2"/>
      <c r="E333" s="2"/>
      <c r="F333" s="2"/>
      <c r="G333" s="2"/>
      <c r="H333" s="2"/>
      <c r="I333" s="2"/>
    </row>
    <row r="334" spans="1:9" s="3" customFormat="1" ht="60" x14ac:dyDescent="0.3">
      <c r="A334" s="4" t="str">
        <f>dB題庫!A55</f>
        <v>54</v>
      </c>
      <c r="B334" s="4" t="str">
        <f>dB題庫!B55</f>
        <v>中雲族高度大約在2,000~6,000公尺,主要有下列哪幾種</v>
      </c>
      <c r="C334" s="4" t="str">
        <f t="shared" si="1"/>
        <v>54.中雲族高度大約在2,000~6,000公尺,主要有下列哪幾種</v>
      </c>
      <c r="D334" s="4" t="str">
        <f>dB題庫!C55</f>
        <v>高積雲。</v>
      </c>
      <c r="E334" s="4" t="str">
        <f>dB題庫!D55</f>
        <v>高層雲。</v>
      </c>
      <c r="F334" s="4" t="str">
        <f>dB題庫!E55</f>
        <v>雨層雲。</v>
      </c>
      <c r="G334" s="4" t="str">
        <f>dB題庫!F55</f>
        <v>以上皆是。</v>
      </c>
      <c r="H334" s="4" t="str">
        <f>dB題庫!G55</f>
        <v>D</v>
      </c>
      <c r="I334" s="4" t="str">
        <f>dB題庫!H55</f>
        <v>中雲族分布於 2,000 至 6,000 公尺之間，主要由水滴與冰晶混合組成。其典型成員包括：呈團狀不連續的「高積雲」、均勻成片灰色帷幕的「高層雲」，以及厚密常帶來連續降雨的「雨層雲」。
【】中62，積層雨</v>
      </c>
    </row>
    <row r="335" spans="1:9" s="3" customFormat="1" x14ac:dyDescent="0.3">
      <c r="A335" s="2" t="s">
        <v>99</v>
      </c>
      <c r="B335" s="1"/>
      <c r="C335" s="7" t="str">
        <f>"(A.)"&amp;D334</f>
        <v>(A.)高積雲。</v>
      </c>
      <c r="D335" s="2"/>
      <c r="E335" s="2"/>
      <c r="F335" s="2"/>
      <c r="G335" s="2"/>
      <c r="H335" s="2"/>
      <c r="I335" s="2"/>
    </row>
    <row r="336" spans="1:9" s="3" customFormat="1" x14ac:dyDescent="0.3">
      <c r="A336" s="2"/>
      <c r="B336" s="1"/>
      <c r="C336" s="7" t="str">
        <f>"(B.)"&amp;E334</f>
        <v>(B.)高層雲。</v>
      </c>
      <c r="D336" s="2"/>
      <c r="E336" s="2"/>
      <c r="F336" s="2"/>
      <c r="G336" s="2"/>
      <c r="H336" s="2"/>
      <c r="I336" s="2"/>
    </row>
    <row r="337" spans="1:9" s="3" customFormat="1" x14ac:dyDescent="0.3">
      <c r="A337" s="2"/>
      <c r="B337" s="2"/>
      <c r="C337" s="7" t="str">
        <f>"(C.)"&amp;F334</f>
        <v>(C.)雨層雲。</v>
      </c>
      <c r="D337" s="2"/>
      <c r="E337" s="2"/>
      <c r="F337" s="2"/>
      <c r="G337" s="2"/>
      <c r="H337" s="2"/>
      <c r="I337" s="2"/>
    </row>
    <row r="338" spans="1:9" s="3" customFormat="1" x14ac:dyDescent="0.3">
      <c r="A338" s="2"/>
      <c r="B338" s="2"/>
      <c r="C338" s="7" t="str">
        <f>"(D.)"&amp;G334</f>
        <v>(D.)以上皆是。</v>
      </c>
      <c r="D338" s="2"/>
      <c r="E338" s="2"/>
      <c r="F338" s="2"/>
      <c r="G338" s="2"/>
      <c r="H338" s="2"/>
      <c r="I338" s="2"/>
    </row>
    <row r="339" spans="1:9" s="3" customFormat="1" x14ac:dyDescent="0.3">
      <c r="A339" s="2"/>
      <c r="B339" s="2"/>
      <c r="C339" s="7" t="str">
        <f>"答案是： "&amp;IF(H334="A",C335,IF(H334="B",C336,IF(H334="C",C337,IF(H334=("D"),C338,"XXXX"))))</f>
        <v>答案是： (D.)以上皆是。</v>
      </c>
      <c r="D339" s="2"/>
      <c r="E339" s="2"/>
      <c r="F339" s="2"/>
      <c r="G339" s="2"/>
      <c r="H339" s="2"/>
      <c r="I339" s="2"/>
    </row>
    <row r="340" spans="1:9" s="3" customFormat="1" ht="90" x14ac:dyDescent="0.3">
      <c r="A340" s="2"/>
      <c r="B340" s="2"/>
      <c r="C340" s="7" t="str">
        <f>"說明："&amp;I334</f>
        <v>說明：中雲族分布於 2,000 至 6,000 公尺之間，主要由水滴與冰晶混合組成。其典型成員包括：呈團狀不連續的「高積雲」、均勻成片灰色帷幕的「高層雲」，以及厚密常帶來連續降雨的「雨層雲」。
【】中62，積層雨</v>
      </c>
      <c r="D340" s="2"/>
      <c r="E340" s="2"/>
      <c r="F340" s="2"/>
      <c r="G340" s="2"/>
      <c r="H340" s="2"/>
      <c r="I340" s="2"/>
    </row>
    <row r="341" spans="1:9" s="3" customFormat="1" ht="60" x14ac:dyDescent="0.3">
      <c r="A341" s="4" t="str">
        <f>dB題庫!A56</f>
        <v>55</v>
      </c>
      <c r="B341" s="4" t="str">
        <f>dB題庫!B56</f>
        <v>低雲族高度位於2,000公尺以下,包含下列哪幾種</v>
      </c>
      <c r="C341" s="4" t="str">
        <f t="shared" si="1"/>
        <v>55.低雲族高度位於2,000公尺以下,包含下列哪幾種</v>
      </c>
      <c r="D341" s="4" t="str">
        <f>dB題庫!C56</f>
        <v>積雲。</v>
      </c>
      <c r="E341" s="4" t="str">
        <f>dB題庫!D56</f>
        <v>層雲。</v>
      </c>
      <c r="F341" s="4" t="str">
        <f>dB題庫!E56</f>
        <v>層積雲。</v>
      </c>
      <c r="G341" s="4" t="str">
        <f>dB題庫!F56</f>
        <v>以上皆是。</v>
      </c>
      <c r="H341" s="4" t="str">
        <f>dB題庫!G56</f>
        <v>D</v>
      </c>
      <c r="I341" s="4" t="str">
        <f>dB題庫!H56</f>
        <v>低雲族的雲底高度距離地面在 2,000 公尺以下，極為接近無人機的日常操作空域。包含孤立塊狀的「積雲」、扁平霧狀的「層雲」以及由大團雲塊相連的「層積雲」。
【】低2積層層</v>
      </c>
    </row>
    <row r="342" spans="1:9" s="3" customFormat="1" x14ac:dyDescent="0.3">
      <c r="A342" s="2" t="s">
        <v>99</v>
      </c>
      <c r="B342" s="1"/>
      <c r="C342" s="7" t="str">
        <f>"(A.)"&amp;D341</f>
        <v>(A.)積雲。</v>
      </c>
      <c r="D342" s="2"/>
      <c r="E342" s="2"/>
      <c r="F342" s="2"/>
      <c r="G342" s="2"/>
      <c r="H342" s="2"/>
      <c r="I342" s="2"/>
    </row>
    <row r="343" spans="1:9" s="3" customFormat="1" x14ac:dyDescent="0.3">
      <c r="A343" s="2"/>
      <c r="B343" s="1"/>
      <c r="C343" s="7" t="str">
        <f>"(B.)"&amp;E341</f>
        <v>(B.)層雲。</v>
      </c>
      <c r="D343" s="2"/>
      <c r="E343" s="2"/>
      <c r="F343" s="2"/>
      <c r="G343" s="2"/>
      <c r="H343" s="2"/>
      <c r="I343" s="2"/>
    </row>
    <row r="344" spans="1:9" s="3" customFormat="1" x14ac:dyDescent="0.3">
      <c r="A344" s="2"/>
      <c r="B344" s="2"/>
      <c r="C344" s="7" t="str">
        <f>"(C.)"&amp;F341</f>
        <v>(C.)層積雲。</v>
      </c>
      <c r="D344" s="2"/>
      <c r="E344" s="2"/>
      <c r="F344" s="2"/>
      <c r="G344" s="2"/>
      <c r="H344" s="2"/>
      <c r="I344" s="2"/>
    </row>
    <row r="345" spans="1:9" s="3" customFormat="1" x14ac:dyDescent="0.3">
      <c r="A345" s="2"/>
      <c r="B345" s="2"/>
      <c r="C345" s="7" t="str">
        <f>"(D.)"&amp;G341</f>
        <v>(D.)以上皆是。</v>
      </c>
      <c r="D345" s="2"/>
      <c r="E345" s="2"/>
      <c r="F345" s="2"/>
      <c r="G345" s="2"/>
      <c r="H345" s="2"/>
      <c r="I345" s="2"/>
    </row>
    <row r="346" spans="1:9" s="3" customFormat="1" x14ac:dyDescent="0.3">
      <c r="A346" s="2"/>
      <c r="B346" s="2"/>
      <c r="C346" s="7" t="str">
        <f>"答案是： "&amp;IF(H341="A",C342,IF(H341="B",C343,IF(H341="C",C344,IF(H341=("D"),C345,"XXXX"))))</f>
        <v>答案是： (D.)以上皆是。</v>
      </c>
      <c r="D346" s="2"/>
      <c r="E346" s="2"/>
      <c r="F346" s="2"/>
      <c r="G346" s="2"/>
      <c r="H346" s="2"/>
      <c r="I346" s="2"/>
    </row>
    <row r="347" spans="1:9" s="3" customFormat="1" ht="75" x14ac:dyDescent="0.3">
      <c r="A347" s="2"/>
      <c r="B347" s="2"/>
      <c r="C347" s="7" t="str">
        <f>"說明："&amp;I341</f>
        <v>說明：低雲族的雲底高度距離地面在 2,000 公尺以下，極為接近無人機的日常操作空域。包含孤立塊狀的「積雲」、扁平霧狀的「層雲」以及由大團雲塊相連的「層積雲」。
【】低2積層層</v>
      </c>
      <c r="D347" s="2"/>
      <c r="E347" s="2"/>
      <c r="F347" s="2"/>
      <c r="G347" s="2"/>
      <c r="H347" s="2"/>
      <c r="I347" s="2"/>
    </row>
    <row r="348" spans="1:9" s="3" customFormat="1" ht="60" x14ac:dyDescent="0.3">
      <c r="A348" s="4" t="str">
        <f>dB題庫!A57</f>
        <v>56</v>
      </c>
      <c r="B348" s="4" t="str">
        <f>dB題庫!B57</f>
        <v>下列何者為常見氣團分類方式</v>
      </c>
      <c r="C348" s="4" t="str">
        <f t="shared" si="1"/>
        <v>56.下列何者為常見氣團分類方式</v>
      </c>
      <c r="D348" s="4" t="str">
        <f>dB題庫!C57</f>
        <v>依其源地緯度高或低。</v>
      </c>
      <c r="E348" s="4" t="str">
        <f>dB題庫!D57</f>
        <v>依其源地為大陸或海洋。</v>
      </c>
      <c r="F348" s="4" t="str">
        <f>dB題庫!E57</f>
        <v>依其所經地面為冷空氣或暖空氣。</v>
      </c>
      <c r="G348" s="4" t="str">
        <f>dB題庫!F57</f>
        <v>以上皆是。</v>
      </c>
      <c r="H348" s="4" t="str">
        <f>dB題庫!G57</f>
        <v>D</v>
      </c>
      <c r="I348" s="4" t="str">
        <f>dB題庫!H57</f>
        <v>氣團的科學分類法極為全面：
依熱力源地緯度分為極地/熱帶氣團；
依地理性質分為大陸性(乾)/海洋性(濕)氣團；
依其移動時與下墊面的相對熱力關係分為冷氣團與暖氣團。</v>
      </c>
    </row>
    <row r="349" spans="1:9" s="3" customFormat="1" x14ac:dyDescent="0.3">
      <c r="A349" s="2" t="s">
        <v>99</v>
      </c>
      <c r="B349" s="1"/>
      <c r="C349" s="7" t="str">
        <f>"(A.)"&amp;D348</f>
        <v>(A.)依其源地緯度高或低。</v>
      </c>
      <c r="D349" s="2"/>
      <c r="E349" s="2"/>
      <c r="F349" s="2"/>
      <c r="G349" s="2"/>
      <c r="H349" s="2"/>
      <c r="I349" s="2"/>
    </row>
    <row r="350" spans="1:9" s="3" customFormat="1" x14ac:dyDescent="0.3">
      <c r="A350" s="2"/>
      <c r="B350" s="1"/>
      <c r="C350" s="7" t="str">
        <f>"(B.)"&amp;E348</f>
        <v>(B.)依其源地為大陸或海洋。</v>
      </c>
      <c r="D350" s="2"/>
      <c r="E350" s="2"/>
      <c r="F350" s="2"/>
      <c r="G350" s="2"/>
      <c r="H350" s="2"/>
      <c r="I350" s="2"/>
    </row>
    <row r="351" spans="1:9" s="3" customFormat="1" x14ac:dyDescent="0.3">
      <c r="A351" s="2"/>
      <c r="B351" s="2"/>
      <c r="C351" s="7" t="str">
        <f>"(C.)"&amp;F348</f>
        <v>(C.)依其所經地面為冷空氣或暖空氣。</v>
      </c>
      <c r="D351" s="2"/>
      <c r="E351" s="2"/>
      <c r="F351" s="2"/>
      <c r="G351" s="2"/>
      <c r="H351" s="2"/>
      <c r="I351" s="2"/>
    </row>
    <row r="352" spans="1:9" s="3" customFormat="1" x14ac:dyDescent="0.3">
      <c r="A352" s="2"/>
      <c r="B352" s="2"/>
      <c r="C352" s="7" t="str">
        <f>"(D.)"&amp;G348</f>
        <v>(D.)以上皆是。</v>
      </c>
      <c r="D352" s="2"/>
      <c r="E352" s="2"/>
      <c r="F352" s="2"/>
      <c r="G352" s="2"/>
      <c r="H352" s="2"/>
      <c r="I352" s="2"/>
    </row>
    <row r="353" spans="1:9" s="3" customFormat="1" x14ac:dyDescent="0.3">
      <c r="A353" s="2"/>
      <c r="B353" s="2"/>
      <c r="C353" s="7" t="str">
        <f>"答案是： "&amp;IF(H348="A",C349,IF(H348="B",C350,IF(H348="C",C351,IF(H348=("D"),C352,"XXXX"))))</f>
        <v>答案是： (D.)以上皆是。</v>
      </c>
      <c r="D353" s="2"/>
      <c r="E353" s="2"/>
      <c r="F353" s="2"/>
      <c r="G353" s="2"/>
      <c r="H353" s="2"/>
      <c r="I353" s="2"/>
    </row>
    <row r="354" spans="1:9" s="3" customFormat="1" ht="75" x14ac:dyDescent="0.3">
      <c r="A354" s="2"/>
      <c r="B354" s="2"/>
      <c r="C354" s="7" t="str">
        <f>"說明："&amp;I348</f>
        <v>說明：氣團的科學分類法極為全面：
依熱力源地緯度分為極地/熱帶氣團；
依地理性質分為大陸性(乾)/海洋性(濕)氣團；
依其移動時與下墊面的相對熱力關係分為冷氣團與暖氣團。</v>
      </c>
      <c r="D354" s="2"/>
      <c r="E354" s="2"/>
      <c r="F354" s="2"/>
      <c r="G354" s="2"/>
      <c r="H354" s="2"/>
      <c r="I354" s="2"/>
    </row>
    <row r="355" spans="1:9" s="3" customFormat="1" ht="30" x14ac:dyDescent="0.3">
      <c r="A355" s="4" t="str">
        <f>dB題庫!A58</f>
        <v>57</v>
      </c>
      <c r="B355" s="4" t="str">
        <f>dB題庫!B58</f>
        <v>氣團本身冷於周遭空氣稱為</v>
      </c>
      <c r="C355" s="4" t="str">
        <f t="shared" si="1"/>
        <v>57.氣團本身冷於周遭空氣稱為</v>
      </c>
      <c r="D355" s="4" t="str">
        <f>dB題庫!C58</f>
        <v>暖氣團。</v>
      </c>
      <c r="E355" s="4" t="str">
        <f>dB題庫!D58</f>
        <v>冷氣團。</v>
      </c>
      <c r="F355" s="4" t="str">
        <f>dB題庫!E58</f>
        <v>冰氣團。</v>
      </c>
      <c r="G355" s="4" t="str">
        <f>dB題庫!F58</f>
        <v>熱氣團。</v>
      </c>
      <c r="H355" s="4" t="str">
        <f>dB題庫!G58</f>
        <v>B</v>
      </c>
      <c r="I355" s="4" t="str">
        <f>dB題庫!H58</f>
        <v>當一個氣團移動到某一新地區時，若其內部的溫度「低於該地區周遭的環境空氣溫度」，在熱力學分類上即被定義為「冷氣團」。</v>
      </c>
    </row>
    <row r="356" spans="1:9" s="3" customFormat="1" x14ac:dyDescent="0.3">
      <c r="A356" s="2" t="s">
        <v>99</v>
      </c>
      <c r="B356" s="1"/>
      <c r="C356" s="7" t="str">
        <f>"(A.)"&amp;D355</f>
        <v>(A.)暖氣團。</v>
      </c>
      <c r="D356" s="2"/>
      <c r="E356" s="2"/>
      <c r="F356" s="2"/>
      <c r="G356" s="2"/>
      <c r="H356" s="2"/>
      <c r="I356" s="2"/>
    </row>
    <row r="357" spans="1:9" s="3" customFormat="1" x14ac:dyDescent="0.3">
      <c r="A357" s="2"/>
      <c r="B357" s="1"/>
      <c r="C357" s="7" t="str">
        <f>"(B.)"&amp;E355</f>
        <v>(B.)冷氣團。</v>
      </c>
      <c r="D357" s="2"/>
      <c r="E357" s="2"/>
      <c r="F357" s="2"/>
      <c r="G357" s="2"/>
      <c r="H357" s="2"/>
      <c r="I357" s="2"/>
    </row>
    <row r="358" spans="1:9" s="3" customFormat="1" x14ac:dyDescent="0.3">
      <c r="A358" s="2"/>
      <c r="B358" s="2"/>
      <c r="C358" s="7" t="str">
        <f>"(C.)"&amp;F355</f>
        <v>(C.)冰氣團。</v>
      </c>
      <c r="D358" s="2"/>
      <c r="E358" s="2"/>
      <c r="F358" s="2"/>
      <c r="G358" s="2"/>
      <c r="H358" s="2"/>
      <c r="I358" s="2"/>
    </row>
    <row r="359" spans="1:9" s="3" customFormat="1" x14ac:dyDescent="0.3">
      <c r="A359" s="2"/>
      <c r="B359" s="2"/>
      <c r="C359" s="7" t="str">
        <f>"(D.)"&amp;G355</f>
        <v>(D.)熱氣團。</v>
      </c>
      <c r="D359" s="2"/>
      <c r="E359" s="2"/>
      <c r="F359" s="2"/>
      <c r="G359" s="2"/>
      <c r="H359" s="2"/>
      <c r="I359" s="2"/>
    </row>
    <row r="360" spans="1:9" s="3" customFormat="1" x14ac:dyDescent="0.3">
      <c r="A360" s="2"/>
      <c r="B360" s="2"/>
      <c r="C360" s="7" t="str">
        <f>"答案是： "&amp;IF(H355="A",C356,IF(H355="B",C357,IF(H355="C",C358,IF(H355=("D"),C359,"XXXX"))))</f>
        <v>答案是： (B.)冷氣團。</v>
      </c>
      <c r="D360" s="2"/>
      <c r="E360" s="2"/>
      <c r="F360" s="2"/>
      <c r="G360" s="2"/>
      <c r="H360" s="2"/>
      <c r="I360" s="2"/>
    </row>
    <row r="361" spans="1:9" s="3" customFormat="1" ht="60" x14ac:dyDescent="0.3">
      <c r="A361" s="2"/>
      <c r="B361" s="2"/>
      <c r="C361" s="7" t="str">
        <f>"說明："&amp;I355</f>
        <v>說明：當一個氣團移動到某一新地區時，若其內部的溫度「低於該地區周遭的環境空氣溫度」，在熱力學分類上即被定義為「冷氣團」。</v>
      </c>
      <c r="D361" s="2"/>
      <c r="E361" s="2"/>
      <c r="F361" s="2"/>
      <c r="G361" s="2"/>
      <c r="H361" s="2"/>
      <c r="I361" s="2"/>
    </row>
    <row r="362" spans="1:9" s="3" customFormat="1" ht="45" x14ac:dyDescent="0.3">
      <c r="A362" s="4" t="str">
        <f>dB題庫!A59</f>
        <v>58</v>
      </c>
      <c r="B362" s="4" t="str">
        <f>dB題庫!B59</f>
        <v>氣團穩定度決定其籠罩區域的哪種形態</v>
      </c>
      <c r="C362" s="4" t="str">
        <f t="shared" si="1"/>
        <v>58.氣團穩定度決定其籠罩區域的哪種形態</v>
      </c>
      <c r="D362" s="4" t="str">
        <f>dB題庫!C59</f>
        <v>社會形態。</v>
      </c>
      <c r="E362" s="4" t="str">
        <f>dB題庫!D59</f>
        <v>經濟形態。</v>
      </c>
      <c r="F362" s="4" t="str">
        <f>dB題庫!E59</f>
        <v>天氣形態。</v>
      </c>
      <c r="G362" s="4" t="str">
        <f>dB題庫!F59</f>
        <v>政治形態。</v>
      </c>
      <c r="H362" s="4" t="str">
        <f>dB題庫!G59</f>
        <v>C</v>
      </c>
      <c r="I362" s="4" t="str">
        <f>dB題庫!H59</f>
        <v>氣團的熱力與動力穩定度(如冷氣團南下受地表加溫變不穩定，或暖氣團北上變穩定)會直接決定其所控制區域的「天氣形態」(如引發晴朗穩定、或觸發對流降雨)。</v>
      </c>
    </row>
    <row r="363" spans="1:9" s="3" customFormat="1" x14ac:dyDescent="0.3">
      <c r="A363" s="2" t="s">
        <v>99</v>
      </c>
      <c r="B363" s="1"/>
      <c r="C363" s="7" t="str">
        <f>"(A.)"&amp;D362</f>
        <v>(A.)社會形態。</v>
      </c>
      <c r="D363" s="2"/>
      <c r="E363" s="2"/>
      <c r="F363" s="2"/>
      <c r="G363" s="2"/>
      <c r="H363" s="2"/>
      <c r="I363" s="2"/>
    </row>
    <row r="364" spans="1:9" s="3" customFormat="1" x14ac:dyDescent="0.3">
      <c r="A364" s="2"/>
      <c r="B364" s="1"/>
      <c r="C364" s="7" t="str">
        <f>"(B.)"&amp;E362</f>
        <v>(B.)經濟形態。</v>
      </c>
      <c r="D364" s="2"/>
      <c r="E364" s="2"/>
      <c r="F364" s="2"/>
      <c r="G364" s="2"/>
      <c r="H364" s="2"/>
      <c r="I364" s="2"/>
    </row>
    <row r="365" spans="1:9" s="3" customFormat="1" x14ac:dyDescent="0.3">
      <c r="A365" s="2"/>
      <c r="B365" s="2"/>
      <c r="C365" s="7" t="str">
        <f>"(C.)"&amp;F362</f>
        <v>(C.)天氣形態。</v>
      </c>
      <c r="D365" s="2"/>
      <c r="E365" s="2"/>
      <c r="F365" s="2"/>
      <c r="G365" s="2"/>
      <c r="H365" s="2"/>
      <c r="I365" s="2"/>
    </row>
    <row r="366" spans="1:9" s="3" customFormat="1" x14ac:dyDescent="0.3">
      <c r="A366" s="2"/>
      <c r="B366" s="2"/>
      <c r="C366" s="7" t="str">
        <f>"(D.)"&amp;G362</f>
        <v>(D.)政治形態。</v>
      </c>
      <c r="D366" s="2"/>
      <c r="E366" s="2"/>
      <c r="F366" s="2"/>
      <c r="G366" s="2"/>
      <c r="H366" s="2"/>
      <c r="I366" s="2"/>
    </row>
    <row r="367" spans="1:9" s="3" customFormat="1" x14ac:dyDescent="0.3">
      <c r="A367" s="2"/>
      <c r="B367" s="2"/>
      <c r="C367" s="7" t="str">
        <f>"答案是： "&amp;IF(H362="A",C363,IF(H362="B",C364,IF(H362="C",C365,IF(H362=("D"),C366,"XXXX"))))</f>
        <v>答案是： (C.)天氣形態。</v>
      </c>
      <c r="D367" s="2"/>
      <c r="E367" s="2"/>
      <c r="F367" s="2"/>
      <c r="G367" s="2"/>
      <c r="H367" s="2"/>
      <c r="I367" s="2"/>
    </row>
    <row r="368" spans="1:9" s="3" customFormat="1" ht="60" x14ac:dyDescent="0.3">
      <c r="A368" s="2"/>
      <c r="B368" s="2"/>
      <c r="C368" s="7" t="str">
        <f>"說明："&amp;I362</f>
        <v>說明：氣團的熱力與動力穩定度(如冷氣團南下受地表加溫變不穩定，或暖氣團北上變穩定)會直接決定其所控制區域的「天氣形態」(如引發晴朗穩定、或觸發對流降雨)。</v>
      </c>
      <c r="D368" s="2"/>
      <c r="E368" s="2"/>
      <c r="F368" s="2"/>
      <c r="G368" s="2"/>
      <c r="H368" s="2"/>
      <c r="I368" s="2"/>
    </row>
    <row r="369" spans="1:9" s="3" customFormat="1" ht="45" x14ac:dyDescent="0.3">
      <c r="A369" s="4" t="str">
        <f>dB題庫!A60</f>
        <v>59</v>
      </c>
      <c r="B369" s="4" t="str">
        <f>dB題庫!B60</f>
        <v>在鋒面兩側的下列哪種現象通常均有明顯的差異</v>
      </c>
      <c r="C369" s="4" t="str">
        <f t="shared" si="1"/>
        <v>59.在鋒面兩側的下列哪種現象通常均有明顯的差異</v>
      </c>
      <c r="D369" s="4" t="str">
        <f>dB題庫!C60</f>
        <v>溫度。</v>
      </c>
      <c r="E369" s="4" t="str">
        <f>dB題庫!D60</f>
        <v>濕度。</v>
      </c>
      <c r="F369" s="4" t="str">
        <f>dB題庫!E60</f>
        <v>風、天氣。</v>
      </c>
      <c r="G369" s="4" t="str">
        <f>dB題庫!F60</f>
        <v>以上皆是。</v>
      </c>
      <c r="H369" s="4" t="str">
        <f>dB題庫!G60</f>
        <v>D</v>
      </c>
      <c r="I369" s="4" t="str">
        <f>dB題庫!H60</f>
        <v>鋒面(Front)是冷、暖兩股性質截然不同的氣團在交會時的狹窄不連續界面。因此，在鋒面的兩側，空氣的溫度、濕度(露點)、風向風速以及整體的天氣特徵通常都會呈現極為劇烈且明顯的躍變差異。</v>
      </c>
    </row>
    <row r="370" spans="1:9" s="3" customFormat="1" x14ac:dyDescent="0.3">
      <c r="A370" s="2" t="s">
        <v>99</v>
      </c>
      <c r="B370" s="1"/>
      <c r="C370" s="7" t="str">
        <f>"(A.)"&amp;D369</f>
        <v>(A.)溫度。</v>
      </c>
      <c r="D370" s="2"/>
      <c r="E370" s="2"/>
      <c r="F370" s="2"/>
      <c r="G370" s="2"/>
      <c r="H370" s="2"/>
      <c r="I370" s="2"/>
    </row>
    <row r="371" spans="1:9" s="3" customFormat="1" x14ac:dyDescent="0.3">
      <c r="A371" s="2"/>
      <c r="B371" s="1"/>
      <c r="C371" s="7" t="str">
        <f>"(B.)"&amp;E369</f>
        <v>(B.)濕度。</v>
      </c>
      <c r="D371" s="2"/>
      <c r="E371" s="2"/>
      <c r="F371" s="2"/>
      <c r="G371" s="2"/>
      <c r="H371" s="2"/>
      <c r="I371" s="2"/>
    </row>
    <row r="372" spans="1:9" s="3" customFormat="1" x14ac:dyDescent="0.3">
      <c r="A372" s="2"/>
      <c r="B372" s="2"/>
      <c r="C372" s="7" t="str">
        <f>"(C.)"&amp;F369</f>
        <v>(C.)風、天氣。</v>
      </c>
      <c r="D372" s="2"/>
      <c r="E372" s="2"/>
      <c r="F372" s="2"/>
      <c r="G372" s="2"/>
      <c r="H372" s="2"/>
      <c r="I372" s="2"/>
    </row>
    <row r="373" spans="1:9" s="3" customFormat="1" x14ac:dyDescent="0.3">
      <c r="A373" s="2"/>
      <c r="B373" s="2"/>
      <c r="C373" s="7" t="str">
        <f>"(D.)"&amp;G369</f>
        <v>(D.)以上皆是。</v>
      </c>
      <c r="D373" s="2"/>
      <c r="E373" s="2"/>
      <c r="F373" s="2"/>
      <c r="G373" s="2"/>
      <c r="H373" s="2"/>
      <c r="I373" s="2"/>
    </row>
    <row r="374" spans="1:9" s="3" customFormat="1" x14ac:dyDescent="0.3">
      <c r="A374" s="2"/>
      <c r="B374" s="2"/>
      <c r="C374" s="7" t="str">
        <f>"答案是： "&amp;IF(H369="A",C370,IF(H369="B",C371,IF(H369="C",C372,IF(H369=("D"),C373,"XXXX"))))</f>
        <v>答案是： (D.)以上皆是。</v>
      </c>
      <c r="D374" s="2"/>
      <c r="E374" s="2"/>
      <c r="F374" s="2"/>
      <c r="G374" s="2"/>
      <c r="H374" s="2"/>
      <c r="I374" s="2"/>
    </row>
    <row r="375" spans="1:9" s="3" customFormat="1" ht="75" x14ac:dyDescent="0.3">
      <c r="A375" s="2"/>
      <c r="B375" s="2"/>
      <c r="C375" s="7" t="str">
        <f>"說明："&amp;I369</f>
        <v>說明：鋒面(Front)是冷、暖兩股性質截然不同的氣團在交會時的狹窄不連續界面。因此，在鋒面的兩側，空氣的溫度、濕度(露點)、風向風速以及整體的天氣特徵通常都會呈現極為劇烈且明顯的躍變差異。</v>
      </c>
      <c r="D375" s="2"/>
      <c r="E375" s="2"/>
      <c r="F375" s="2"/>
      <c r="G375" s="2"/>
      <c r="H375" s="2"/>
      <c r="I375" s="2"/>
    </row>
    <row r="376" spans="1:9" s="3" customFormat="1" ht="45" x14ac:dyDescent="0.3">
      <c r="A376" s="4" t="str">
        <f>dB題庫!A61</f>
        <v>60</v>
      </c>
      <c r="B376" s="4" t="str">
        <f>dB題庫!B61</f>
        <v>當冷空氣前進,迫使暖空氣後退而取代暖空氣原有位置,則此時產生之鋒面稱為</v>
      </c>
      <c r="C376" s="4" t="str">
        <f t="shared" si="1"/>
        <v>60.當冷空氣前進,迫使暖空氣後退而取代暖空氣原有位置,則此時產生之鋒面稱為</v>
      </c>
      <c r="D376" s="4" t="str">
        <f>dB題庫!C61</f>
        <v>滯留鋒。</v>
      </c>
      <c r="E376" s="4" t="str">
        <f>dB題庫!D61</f>
        <v>暖鋒。</v>
      </c>
      <c r="F376" s="4" t="str">
        <f>dB題庫!E61</f>
        <v>冷鋒。</v>
      </c>
      <c r="G376" s="4" t="str">
        <f>dB題庫!F61</f>
        <v>囚錮鋒。</v>
      </c>
      <c r="H376" s="4" t="str">
        <f>dB題庫!G61</f>
        <v>C</v>
      </c>
      <c r="I376" s="4" t="str">
        <f>dB題庫!H61</f>
        <v>根據大氣動力學定義，當冷氣團勢力強大、主動向前推進，並切入暖氣團下方將其強制抬升，進而取代原本暖空氣所在的地理位置時，此交界面即稱為「冷鋒」(Cold Front)。</v>
      </c>
    </row>
    <row r="377" spans="1:9" s="3" customFormat="1" x14ac:dyDescent="0.3">
      <c r="A377" s="2" t="s">
        <v>99</v>
      </c>
      <c r="B377" s="1"/>
      <c r="C377" s="7" t="str">
        <f>"(A.)"&amp;D376</f>
        <v>(A.)滯留鋒。</v>
      </c>
      <c r="D377" s="2"/>
      <c r="E377" s="2"/>
      <c r="F377" s="2"/>
      <c r="G377" s="2"/>
      <c r="H377" s="2"/>
      <c r="I377" s="2"/>
    </row>
    <row r="378" spans="1:9" s="3" customFormat="1" x14ac:dyDescent="0.3">
      <c r="A378" s="2"/>
      <c r="B378" s="1"/>
      <c r="C378" s="7" t="str">
        <f>"(B.)"&amp;E376</f>
        <v>(B.)暖鋒。</v>
      </c>
      <c r="D378" s="2"/>
      <c r="E378" s="2"/>
      <c r="F378" s="2"/>
      <c r="G378" s="2"/>
      <c r="H378" s="2"/>
      <c r="I378" s="2"/>
    </row>
    <row r="379" spans="1:9" s="3" customFormat="1" x14ac:dyDescent="0.3">
      <c r="A379" s="2"/>
      <c r="B379" s="2"/>
      <c r="C379" s="7" t="str">
        <f>"(C.)"&amp;F376</f>
        <v>(C.)冷鋒。</v>
      </c>
      <c r="D379" s="2"/>
      <c r="E379" s="2"/>
      <c r="F379" s="2"/>
      <c r="G379" s="2"/>
      <c r="H379" s="2"/>
      <c r="I379" s="2"/>
    </row>
    <row r="380" spans="1:9" s="3" customFormat="1" x14ac:dyDescent="0.3">
      <c r="A380" s="2"/>
      <c r="B380" s="2"/>
      <c r="C380" s="7" t="str">
        <f>"(D.)"&amp;G376</f>
        <v>(D.)囚錮鋒。</v>
      </c>
      <c r="D380" s="2"/>
      <c r="E380" s="2"/>
      <c r="F380" s="2"/>
      <c r="G380" s="2"/>
      <c r="H380" s="2"/>
      <c r="I380" s="2"/>
    </row>
    <row r="381" spans="1:9" s="3" customFormat="1" x14ac:dyDescent="0.3">
      <c r="A381" s="2"/>
      <c r="B381" s="2"/>
      <c r="C381" s="7" t="str">
        <f>"答案是： "&amp;IF(H376="A",C377,IF(H376="B",C378,IF(H376="C",C379,IF(H376=("D"),C380,"XXXX"))))</f>
        <v>答案是： (C.)冷鋒。</v>
      </c>
      <c r="D381" s="2"/>
      <c r="E381" s="2"/>
      <c r="F381" s="2"/>
      <c r="G381" s="2"/>
      <c r="H381" s="2"/>
      <c r="I381" s="2"/>
    </row>
    <row r="382" spans="1:9" s="3" customFormat="1" ht="60" x14ac:dyDescent="0.3">
      <c r="A382" s="2"/>
      <c r="B382" s="2"/>
      <c r="C382" s="7" t="str">
        <f>"說明："&amp;I376</f>
        <v>說明：根據大氣動力學定義，當冷氣團勢力強大、主動向前推進，並切入暖氣團下方將其強制抬升，進而取代原本暖空氣所在的地理位置時，此交界面即稱為「冷鋒」(Cold Front)。</v>
      </c>
      <c r="D382" s="2"/>
      <c r="E382" s="2"/>
      <c r="F382" s="2"/>
      <c r="G382" s="2"/>
      <c r="H382" s="2"/>
      <c r="I382" s="2"/>
    </row>
    <row r="383" spans="1:9" s="3" customFormat="1" ht="45" x14ac:dyDescent="0.3">
      <c r="A383" s="4" t="str">
        <f>dB題庫!A62</f>
        <v>61</v>
      </c>
      <c r="B383" s="4" t="str">
        <f>dB題庫!B62</f>
        <v>當冷暖氣團勢均力敵以致使鋒面呈滯留狀態,此時之鋒面稱為</v>
      </c>
      <c r="C383" s="4" t="str">
        <f t="shared" si="1"/>
        <v>61.當冷暖氣團勢均力敵以致使鋒面呈滯留狀態,此時之鋒面稱為</v>
      </c>
      <c r="D383" s="4" t="str">
        <f>dB題庫!C62</f>
        <v>暖鋒。</v>
      </c>
      <c r="E383" s="4" t="str">
        <f>dB題庫!D62</f>
        <v>滯留鋒。</v>
      </c>
      <c r="F383" s="4" t="str">
        <f>dB題庫!E62</f>
        <v>冷鋒。</v>
      </c>
      <c r="G383" s="4" t="str">
        <f>dB題庫!F62</f>
        <v>囚錮鋒。</v>
      </c>
      <c r="H383" s="4" t="str">
        <f>dB題庫!G62</f>
        <v>B</v>
      </c>
      <c r="I383" s="4" t="str">
        <f>dB題庫!H62</f>
        <v>當冷氣團與暖氣團在交會時力量不相上下、彼此僵持不下，使得交界界面移動速度極慢或在某一區域原地徘徊、處於相對靜止狀態時，該鋒面即稱為「滯留鋒」(Stationary Front)，常帶來連續性陰雨。</v>
      </c>
    </row>
    <row r="384" spans="1:9" s="3" customFormat="1" x14ac:dyDescent="0.3">
      <c r="A384" s="2" t="s">
        <v>99</v>
      </c>
      <c r="B384" s="1"/>
      <c r="C384" s="7" t="str">
        <f>"(A.)"&amp;D383</f>
        <v>(A.)暖鋒。</v>
      </c>
      <c r="D384" s="2"/>
      <c r="E384" s="2"/>
      <c r="F384" s="2"/>
      <c r="G384" s="2"/>
      <c r="H384" s="2"/>
      <c r="I384" s="2"/>
    </row>
    <row r="385" spans="1:9" s="3" customFormat="1" x14ac:dyDescent="0.3">
      <c r="A385" s="2"/>
      <c r="B385" s="1"/>
      <c r="C385" s="7" t="str">
        <f>"(B.)"&amp;E383</f>
        <v>(B.)滯留鋒。</v>
      </c>
      <c r="D385" s="2"/>
      <c r="E385" s="2"/>
      <c r="F385" s="2"/>
      <c r="G385" s="2"/>
      <c r="H385" s="2"/>
      <c r="I385" s="2"/>
    </row>
    <row r="386" spans="1:9" s="3" customFormat="1" x14ac:dyDescent="0.3">
      <c r="A386" s="2"/>
      <c r="B386" s="2"/>
      <c r="C386" s="7" t="str">
        <f>"(C.)"&amp;F383</f>
        <v>(C.)冷鋒。</v>
      </c>
      <c r="D386" s="2"/>
      <c r="E386" s="2"/>
      <c r="F386" s="2"/>
      <c r="G386" s="2"/>
      <c r="H386" s="2"/>
      <c r="I386" s="2"/>
    </row>
    <row r="387" spans="1:9" s="3" customFormat="1" x14ac:dyDescent="0.3">
      <c r="A387" s="2"/>
      <c r="B387" s="2"/>
      <c r="C387" s="7" t="str">
        <f>"(D.)"&amp;G383</f>
        <v>(D.)囚錮鋒。</v>
      </c>
      <c r="D387" s="2"/>
      <c r="E387" s="2"/>
      <c r="F387" s="2"/>
      <c r="G387" s="2"/>
      <c r="H387" s="2"/>
      <c r="I387" s="2"/>
    </row>
    <row r="388" spans="1:9" s="3" customFormat="1" x14ac:dyDescent="0.3">
      <c r="A388" s="2"/>
      <c r="B388" s="2"/>
      <c r="C388" s="7" t="str">
        <f>"答案是： "&amp;IF(H383="A",C384,IF(H383="B",C385,IF(H383="C",C386,IF(H383=("D"),C387,"XXXX"))))</f>
        <v>答案是： (B.)滯留鋒。</v>
      </c>
      <c r="D388" s="2"/>
      <c r="E388" s="2"/>
      <c r="F388" s="2"/>
      <c r="G388" s="2"/>
      <c r="H388" s="2"/>
      <c r="I388" s="2"/>
    </row>
    <row r="389" spans="1:9" s="3" customFormat="1" ht="75" x14ac:dyDescent="0.3">
      <c r="A389" s="2"/>
      <c r="B389" s="2"/>
      <c r="C389" s="7" t="str">
        <f>"說明："&amp;I383</f>
        <v>說明：當冷氣團與暖氣團在交會時力量不相上下、彼此僵持不下，使得交界界面移動速度極慢或在某一區域原地徘徊、處於相對靜止狀態時，該鋒面即稱為「滯留鋒」(Stationary Front)，常帶來連續性陰雨。</v>
      </c>
      <c r="D389" s="2"/>
      <c r="E389" s="2"/>
      <c r="F389" s="2"/>
      <c r="G389" s="2"/>
      <c r="H389" s="2"/>
      <c r="I389" s="2"/>
    </row>
    <row r="390" spans="1:9" s="3" customFormat="1" ht="45" x14ac:dyDescent="0.3">
      <c r="A390" s="4" t="str">
        <f>dB題庫!A63</f>
        <v>62</v>
      </c>
      <c r="B390" s="4" t="str">
        <f>dB題庫!B63</f>
        <v>遙控無人機飛經各鋒面區時,可能遭遇下列何項劇烈變化</v>
      </c>
      <c r="C390" s="4" t="str">
        <f t="shared" si="1"/>
        <v>62.遙控無人機飛經各鋒面區時,可能遭遇下列何項劇烈變化</v>
      </c>
      <c r="D390" s="4" t="str">
        <f>dB題庫!C63</f>
        <v>溫度。</v>
      </c>
      <c r="E390" s="4" t="str">
        <f>dB題庫!D63</f>
        <v>濕度。</v>
      </c>
      <c r="F390" s="4" t="str">
        <f>dB題庫!E63</f>
        <v>風向。</v>
      </c>
      <c r="G390" s="4" t="str">
        <f>dB題庫!F63</f>
        <v>以上皆是。</v>
      </c>
      <c r="H390" s="4" t="str">
        <f>dB題庫!G63</f>
        <v>D</v>
      </c>
      <c r="I390" s="4" t="str">
        <f>dB題庫!H63</f>
        <v>鋒面區是氣象要素最具破壞性的不連續帶。無人機穿越鋒面時，會在一瞬間遭遇溫度的驟降或驟升、濕度的劇烈波動、以及風向的突然切變與強烈亂流，這些變化對飛行控制非常危險。</v>
      </c>
    </row>
    <row r="391" spans="1:9" s="3" customFormat="1" x14ac:dyDescent="0.3">
      <c r="A391" s="2" t="s">
        <v>99</v>
      </c>
      <c r="B391" s="1"/>
      <c r="C391" s="7" t="str">
        <f>"(A.)"&amp;D390</f>
        <v>(A.)溫度。</v>
      </c>
      <c r="D391" s="2"/>
      <c r="E391" s="2"/>
      <c r="F391" s="2"/>
      <c r="G391" s="2"/>
      <c r="H391" s="2"/>
      <c r="I391" s="2"/>
    </row>
    <row r="392" spans="1:9" s="3" customFormat="1" x14ac:dyDescent="0.3">
      <c r="A392" s="2"/>
      <c r="B392" s="1"/>
      <c r="C392" s="7" t="str">
        <f>"(B.)"&amp;E390</f>
        <v>(B.)濕度。</v>
      </c>
      <c r="D392" s="2"/>
      <c r="E392" s="2"/>
      <c r="F392" s="2"/>
      <c r="G392" s="2"/>
      <c r="H392" s="2"/>
      <c r="I392" s="2"/>
    </row>
    <row r="393" spans="1:9" s="3" customFormat="1" x14ac:dyDescent="0.3">
      <c r="A393" s="2"/>
      <c r="B393" s="2"/>
      <c r="C393" s="7" t="str">
        <f>"(C.)"&amp;F390</f>
        <v>(C.)風向。</v>
      </c>
      <c r="D393" s="2"/>
      <c r="E393" s="2"/>
      <c r="F393" s="2"/>
      <c r="G393" s="2"/>
      <c r="H393" s="2"/>
      <c r="I393" s="2"/>
    </row>
    <row r="394" spans="1:9" s="3" customFormat="1" x14ac:dyDescent="0.3">
      <c r="A394" s="2"/>
      <c r="B394" s="2"/>
      <c r="C394" s="7" t="str">
        <f>"(D.)"&amp;G390</f>
        <v>(D.)以上皆是。</v>
      </c>
      <c r="D394" s="2"/>
      <c r="E394" s="2"/>
      <c r="F394" s="2"/>
      <c r="G394" s="2"/>
      <c r="H394" s="2"/>
      <c r="I394" s="2"/>
    </row>
    <row r="395" spans="1:9" s="3" customFormat="1" x14ac:dyDescent="0.3">
      <c r="A395" s="2"/>
      <c r="B395" s="2"/>
      <c r="C395" s="7" t="str">
        <f>"答案是： "&amp;IF(H390="A",C391,IF(H390="B",C392,IF(H390="C",C393,IF(H390=("D"),C394,"XXXX"))))</f>
        <v>答案是： (D.)以上皆是。</v>
      </c>
      <c r="D395" s="2"/>
      <c r="E395" s="2"/>
      <c r="F395" s="2"/>
      <c r="G395" s="2"/>
      <c r="H395" s="2"/>
      <c r="I395" s="2"/>
    </row>
    <row r="396" spans="1:9" s="3" customFormat="1" ht="75" x14ac:dyDescent="0.3">
      <c r="A396" s="2"/>
      <c r="B396" s="2"/>
      <c r="C396" s="7" t="str">
        <f>"說明："&amp;I390</f>
        <v>說明：鋒面區是氣象要素最具破壞性的不連續帶。無人機穿越鋒面時，會在一瞬間遭遇溫度的驟降或驟升、濕度的劇烈波動、以及風向的突然切變與強烈亂流，這些變化對飛行控制非常危險。</v>
      </c>
      <c r="D396" s="2"/>
      <c r="E396" s="2"/>
      <c r="F396" s="2"/>
      <c r="G396" s="2"/>
      <c r="H396" s="2"/>
      <c r="I396" s="2"/>
    </row>
    <row r="397" spans="1:9" s="3" customFormat="1" ht="45" x14ac:dyDescent="0.3">
      <c r="A397" s="4" t="str">
        <f>dB題庫!A64</f>
        <v>63</v>
      </c>
      <c r="B397" s="4" t="str">
        <f>dB題庫!B64</f>
        <v>遙控無人機於山區飛行時若遇強風,則可選擇何處飛行相較為平順</v>
      </c>
      <c r="C397" s="4" t="str">
        <f t="shared" si="1"/>
        <v>63.遙控無人機於山區飛行時若遇強風,則可選擇何處飛行相較為平順</v>
      </c>
      <c r="D397" s="4" t="str">
        <f>dB題庫!C64</f>
        <v>背風面。</v>
      </c>
      <c r="E397" s="4" t="str">
        <f>dB題庫!D64</f>
        <v>側風面。</v>
      </c>
      <c r="F397" s="4" t="str">
        <f>dB題庫!E64</f>
        <v>迎風面。</v>
      </c>
      <c r="G397" s="4" t="str">
        <f>dB題庫!F64</f>
        <v>以上皆非。</v>
      </c>
      <c r="H397" s="4" t="str">
        <f>dB題庫!G64</f>
        <v>C</v>
      </c>
      <c r="I397" s="4" t="str">
        <f>dB題庫!H64</f>
        <v>在山區迎風面(風吹來的一側)，氣流受到山坡阻擋主要是順著地形緩慢、穩定地向上爬升，其風場相較於背風面雜亂的破碎渦流與強大下沉氣流而言，是「相較為平順」的。</v>
      </c>
    </row>
    <row r="398" spans="1:9" s="3" customFormat="1" x14ac:dyDescent="0.3">
      <c r="A398" s="2" t="s">
        <v>99</v>
      </c>
      <c r="B398" s="1"/>
      <c r="C398" s="7" t="str">
        <f>"(A.)"&amp;D397</f>
        <v>(A.)背風面。</v>
      </c>
      <c r="D398" s="2"/>
      <c r="E398" s="2"/>
      <c r="F398" s="2"/>
      <c r="G398" s="2"/>
      <c r="H398" s="2"/>
      <c r="I398" s="2"/>
    </row>
    <row r="399" spans="1:9" s="3" customFormat="1" x14ac:dyDescent="0.3">
      <c r="A399" s="2"/>
      <c r="B399" s="1"/>
      <c r="C399" s="7" t="str">
        <f>"(B.)"&amp;E397</f>
        <v>(B.)側風面。</v>
      </c>
      <c r="D399" s="2"/>
      <c r="E399" s="2"/>
      <c r="F399" s="2"/>
      <c r="G399" s="2"/>
      <c r="H399" s="2"/>
      <c r="I399" s="2"/>
    </row>
    <row r="400" spans="1:9" s="3" customFormat="1" x14ac:dyDescent="0.3">
      <c r="A400" s="2"/>
      <c r="B400" s="2"/>
      <c r="C400" s="7" t="str">
        <f>"(C.)"&amp;F397</f>
        <v>(C.)迎風面。</v>
      </c>
      <c r="D400" s="2"/>
      <c r="E400" s="2"/>
      <c r="F400" s="2"/>
      <c r="G400" s="2"/>
      <c r="H400" s="2"/>
      <c r="I400" s="2"/>
    </row>
    <row r="401" spans="1:9" s="3" customFormat="1" x14ac:dyDescent="0.3">
      <c r="A401" s="2"/>
      <c r="B401" s="2"/>
      <c r="C401" s="7" t="str">
        <f>"(D.)"&amp;G397</f>
        <v>(D.)以上皆非。</v>
      </c>
      <c r="D401" s="2"/>
      <c r="E401" s="2"/>
      <c r="F401" s="2"/>
      <c r="G401" s="2"/>
      <c r="H401" s="2"/>
      <c r="I401" s="2"/>
    </row>
    <row r="402" spans="1:9" s="3" customFormat="1" x14ac:dyDescent="0.3">
      <c r="A402" s="2"/>
      <c r="B402" s="2"/>
      <c r="C402" s="7" t="str">
        <f>"答案是： "&amp;IF(H397="A",C398,IF(H397="B",C399,IF(H397="C",C400,IF(H397=("D"),C401,"XXXX"))))</f>
        <v>答案是： (C.)迎風面。</v>
      </c>
      <c r="D402" s="2"/>
      <c r="E402" s="2"/>
      <c r="F402" s="2"/>
      <c r="G402" s="2"/>
      <c r="H402" s="2"/>
      <c r="I402" s="2"/>
    </row>
    <row r="403" spans="1:9" s="3" customFormat="1" ht="60" x14ac:dyDescent="0.3">
      <c r="A403" s="2"/>
      <c r="B403" s="2"/>
      <c r="C403" s="7" t="str">
        <f>"說明："&amp;I397</f>
        <v>說明：在山區迎風面(風吹來的一側)，氣流受到山坡阻擋主要是順著地形緩慢、穩定地向上爬升，其風場相較於背風面雜亂的破碎渦流與強大下沉氣流而言，是「相較為平順」的。</v>
      </c>
      <c r="D403" s="2"/>
      <c r="E403" s="2"/>
      <c r="F403" s="2"/>
      <c r="G403" s="2"/>
      <c r="H403" s="2"/>
      <c r="I403" s="2"/>
    </row>
    <row r="404" spans="1:9" s="3" customFormat="1" ht="45" x14ac:dyDescent="0.3">
      <c r="A404" s="4" t="str">
        <f>dB題庫!A65</f>
        <v>64</v>
      </c>
      <c r="B404" s="4" t="str">
        <f>dB題庫!B65</f>
        <v>遙控無人機於山區飛行時,過了山巔需注意沿何方向所產生之亂流</v>
      </c>
      <c r="C404" s="4" t="str">
        <f t="shared" si="1"/>
        <v>64.遙控無人機於山區飛行時,過了山巔需注意沿何方向所產生之亂流</v>
      </c>
      <c r="D404" s="4" t="str">
        <f>dB題庫!C65</f>
        <v>側風面。</v>
      </c>
      <c r="E404" s="4" t="str">
        <f>dB題庫!D65</f>
        <v>背風面。</v>
      </c>
      <c r="F404" s="4" t="str">
        <f>dB題庫!E65</f>
        <v>迎風面。</v>
      </c>
      <c r="G404" s="4" t="str">
        <f>dB題庫!F65</f>
        <v>以上皆非。</v>
      </c>
      <c r="H404" s="4" t="str">
        <f>dB題庫!G65</f>
        <v>B</v>
      </c>
      <c r="I404" s="4" t="str">
        <f>dB題庫!H65</f>
        <v>當強風越過山巔(山頂)之後，會在山的另一側(即「背風面」)發生劇烈的轉折與分離，形成可怕的下沉氣流、滾轉波以及無規律的強烈亂流，操作人在此區域必須極度警惕。</v>
      </c>
    </row>
    <row r="405" spans="1:9" s="3" customFormat="1" x14ac:dyDescent="0.3">
      <c r="A405" s="2" t="s">
        <v>99</v>
      </c>
      <c r="B405" s="1"/>
      <c r="C405" s="7" t="str">
        <f>"(A.)"&amp;D404</f>
        <v>(A.)側風面。</v>
      </c>
      <c r="D405" s="2"/>
      <c r="E405" s="2"/>
      <c r="F405" s="2"/>
      <c r="G405" s="2"/>
      <c r="H405" s="2"/>
      <c r="I405" s="2"/>
    </row>
    <row r="406" spans="1:9" s="3" customFormat="1" x14ac:dyDescent="0.3">
      <c r="A406" s="2"/>
      <c r="B406" s="1"/>
      <c r="C406" s="7" t="str">
        <f>"(B.)"&amp;E404</f>
        <v>(B.)背風面。</v>
      </c>
      <c r="D406" s="2"/>
      <c r="E406" s="2"/>
      <c r="F406" s="2"/>
      <c r="G406" s="2"/>
      <c r="H406" s="2"/>
      <c r="I406" s="2"/>
    </row>
    <row r="407" spans="1:9" s="3" customFormat="1" x14ac:dyDescent="0.3">
      <c r="A407" s="2"/>
      <c r="B407" s="2"/>
      <c r="C407" s="7" t="str">
        <f>"(C.)"&amp;F404</f>
        <v>(C.)迎風面。</v>
      </c>
      <c r="D407" s="2"/>
      <c r="E407" s="2"/>
      <c r="F407" s="2"/>
      <c r="G407" s="2"/>
      <c r="H407" s="2"/>
      <c r="I407" s="2"/>
    </row>
    <row r="408" spans="1:9" s="3" customFormat="1" x14ac:dyDescent="0.3">
      <c r="A408" s="2"/>
      <c r="B408" s="2"/>
      <c r="C408" s="7" t="str">
        <f>"(D.)"&amp;G404</f>
        <v>(D.)以上皆非。</v>
      </c>
      <c r="D408" s="2"/>
      <c r="E408" s="2"/>
      <c r="F408" s="2"/>
      <c r="G408" s="2"/>
      <c r="H408" s="2"/>
      <c r="I408" s="2"/>
    </row>
    <row r="409" spans="1:9" s="3" customFormat="1" x14ac:dyDescent="0.3">
      <c r="A409" s="2"/>
      <c r="B409" s="2"/>
      <c r="C409" s="7" t="str">
        <f>"答案是： "&amp;IF(H404="A",C405,IF(H404="B",C406,IF(H404="C",C407,IF(H404=("D"),C408,"XXXX"))))</f>
        <v>答案是： (B.)背風面。</v>
      </c>
      <c r="D409" s="2"/>
      <c r="E409" s="2"/>
      <c r="F409" s="2"/>
      <c r="G409" s="2"/>
      <c r="H409" s="2"/>
      <c r="I409" s="2"/>
    </row>
    <row r="410" spans="1:9" s="3" customFormat="1" ht="60" x14ac:dyDescent="0.3">
      <c r="A410" s="2"/>
      <c r="B410" s="2"/>
      <c r="C410" s="7" t="str">
        <f>"說明："&amp;I404</f>
        <v>說明：當強風越過山巔(山頂)之後，會在山的另一側(即「背風面」)發生劇烈的轉折與分離，形成可怕的下沉氣流、滾轉波以及無規律的強烈亂流，操作人在此區域必須極度警惕。</v>
      </c>
      <c r="D410" s="2"/>
      <c r="E410" s="2"/>
      <c r="F410" s="2"/>
      <c r="G410" s="2"/>
      <c r="H410" s="2"/>
      <c r="I410" s="2"/>
    </row>
    <row r="411" spans="1:9" s="3" customFormat="1" ht="45" x14ac:dyDescent="0.3">
      <c r="A411" s="4" t="str">
        <f>dB題庫!A66</f>
        <v>65</v>
      </c>
      <c r="B411" s="4" t="str">
        <f>dB題庫!B66</f>
        <v>遙控無人機飛越可見水氣(如雨或雲)時,需注意哪個部位可能發生積冰現象</v>
      </c>
      <c r="C411" s="4" t="str">
        <f t="shared" si="1"/>
        <v>65.遙控無人機飛越可見水氣(如雨或雲)時,需注意哪個部位可能發生積冰現象</v>
      </c>
      <c r="D411" s="4" t="str">
        <f>dB題庫!C66</f>
        <v>機翼翼面。</v>
      </c>
      <c r="E411" s="4" t="str">
        <f>dB題庫!D66</f>
        <v>尾翼翼面。</v>
      </c>
      <c r="F411" s="4" t="str">
        <f>dB題庫!E66</f>
        <v>感測器。</v>
      </c>
      <c r="G411" s="4" t="str">
        <f>dB題庫!F66</f>
        <v>以上皆是。</v>
      </c>
      <c r="H411" s="4" t="str">
        <f>dB題庫!G66</f>
        <v>D</v>
      </c>
      <c r="I411" s="4" t="str">
        <f>dB題庫!H66</f>
        <v>當環境溫度接近或低於冰點，且無人機飛越有過冷水滴的雲霧或降雨區(可見水氣)時，水滴會迅速在接觸面上結冰。機翼翼面、尾翼翼面以及露在外部的氣壓計/皮托管等感測器孔道均可能嚴重「積冰」，導致控制失效。</v>
      </c>
    </row>
    <row r="412" spans="1:9" s="3" customFormat="1" x14ac:dyDescent="0.3">
      <c r="A412" s="2" t="s">
        <v>99</v>
      </c>
      <c r="B412" s="1"/>
      <c r="C412" s="7" t="str">
        <f>"(A.)"&amp;D411</f>
        <v>(A.)機翼翼面。</v>
      </c>
      <c r="D412" s="2"/>
      <c r="E412" s="2"/>
      <c r="F412" s="2"/>
      <c r="G412" s="2"/>
      <c r="H412" s="2"/>
      <c r="I412" s="2"/>
    </row>
    <row r="413" spans="1:9" s="3" customFormat="1" x14ac:dyDescent="0.3">
      <c r="A413" s="2"/>
      <c r="B413" s="1"/>
      <c r="C413" s="7" t="str">
        <f>"(B.)"&amp;E411</f>
        <v>(B.)尾翼翼面。</v>
      </c>
      <c r="D413" s="2"/>
      <c r="E413" s="2"/>
      <c r="F413" s="2"/>
      <c r="G413" s="2"/>
      <c r="H413" s="2"/>
      <c r="I413" s="2"/>
    </row>
    <row r="414" spans="1:9" s="3" customFormat="1" x14ac:dyDescent="0.3">
      <c r="A414" s="2"/>
      <c r="B414" s="2"/>
      <c r="C414" s="7" t="str">
        <f>"(C.)"&amp;F411</f>
        <v>(C.)感測器。</v>
      </c>
      <c r="D414" s="2"/>
      <c r="E414" s="2"/>
      <c r="F414" s="2"/>
      <c r="G414" s="2"/>
      <c r="H414" s="2"/>
      <c r="I414" s="2"/>
    </row>
    <row r="415" spans="1:9" s="3" customFormat="1" x14ac:dyDescent="0.3">
      <c r="A415" s="2"/>
      <c r="B415" s="2"/>
      <c r="C415" s="7" t="str">
        <f>"(D.)"&amp;G411</f>
        <v>(D.)以上皆是。</v>
      </c>
      <c r="D415" s="2"/>
      <c r="E415" s="2"/>
      <c r="F415" s="2"/>
      <c r="G415" s="2"/>
      <c r="H415" s="2"/>
      <c r="I415" s="2"/>
    </row>
    <row r="416" spans="1:9" s="3" customFormat="1" x14ac:dyDescent="0.3">
      <c r="A416" s="2"/>
      <c r="B416" s="2"/>
      <c r="C416" s="7" t="str">
        <f>"答案是： "&amp;IF(H411="A",C412,IF(H411="B",C413,IF(H411="C",C414,IF(H411=("D"),C415,"XXXX"))))</f>
        <v>答案是： (D.)以上皆是。</v>
      </c>
      <c r="D416" s="2"/>
      <c r="E416" s="2"/>
      <c r="F416" s="2"/>
      <c r="G416" s="2"/>
      <c r="H416" s="2"/>
      <c r="I416" s="2"/>
    </row>
    <row r="417" spans="1:9" s="3" customFormat="1" ht="75" x14ac:dyDescent="0.3">
      <c r="A417" s="2"/>
      <c r="B417" s="2"/>
      <c r="C417" s="7" t="str">
        <f>"說明："&amp;I411</f>
        <v>說明：當環境溫度接近或低於冰點，且無人機飛越有過冷水滴的雲霧或降雨區(可見水氣)時，水滴會迅速在接觸面上結冰。機翼翼面、尾翼翼面以及露在外部的氣壓計/皮托管等感測器孔道均可能嚴重「積冰」，導致控制失效。</v>
      </c>
      <c r="D417" s="2"/>
      <c r="E417" s="2"/>
      <c r="F417" s="2"/>
      <c r="G417" s="2"/>
      <c r="H417" s="2"/>
      <c r="I417" s="2"/>
    </row>
    <row r="418" spans="1:9" s="3" customFormat="1" ht="45" x14ac:dyDescent="0.3">
      <c r="A418" s="4" t="str">
        <f>dB題庫!A67</f>
        <v>66</v>
      </c>
      <c r="B418" s="4" t="str">
        <f>dB題庫!B67</f>
        <v>遙控無人機飛行時,於下列哪種情形可能發生積冰現象</v>
      </c>
      <c r="C418" s="4" t="str">
        <f t="shared" si="1"/>
        <v>66.遙控無人機飛行時,於下列哪種情形可能發生積冰現象</v>
      </c>
      <c r="D418" s="4" t="str">
        <f>dB題庫!C67</f>
        <v>機體周遭氣溫為攝氏零度。</v>
      </c>
      <c r="E418" s="4" t="str">
        <f>dB題庫!D67</f>
        <v>機體周遭氣溫為攝氏零度以下。</v>
      </c>
      <c r="F418" s="4" t="str">
        <f>dB題庫!E67</f>
        <v>有可見水氣。</v>
      </c>
      <c r="G418" s="4" t="str">
        <f>dB題庫!F67</f>
        <v>以上皆是。</v>
      </c>
      <c r="H418" s="4" t="str">
        <f>dB題庫!G67</f>
        <v>D</v>
      </c>
      <c r="I418" s="4" t="str">
        <f>dB題庫!H67</f>
        <v>結構積冰發生的兩個核心物理條件缺一不可：第一是環境溫度處於攝氏零度或零度以下(過冷環境)；第二是空氣中存在大量的「可見水氣」(如雲、霧、雨、雪)。故以上皆是。</v>
      </c>
    </row>
    <row r="419" spans="1:9" s="3" customFormat="1" x14ac:dyDescent="0.3">
      <c r="A419" s="2" t="s">
        <v>99</v>
      </c>
      <c r="B419" s="1"/>
      <c r="C419" s="7" t="str">
        <f>"(A.)"&amp;D418</f>
        <v>(A.)機體周遭氣溫為攝氏零度。</v>
      </c>
      <c r="D419" s="2"/>
      <c r="E419" s="2"/>
      <c r="F419" s="2"/>
      <c r="G419" s="2"/>
      <c r="H419" s="2"/>
      <c r="I419" s="2"/>
    </row>
    <row r="420" spans="1:9" s="3" customFormat="1" x14ac:dyDescent="0.3">
      <c r="A420" s="2"/>
      <c r="B420" s="1"/>
      <c r="C420" s="7" t="str">
        <f>"(B.)"&amp;E418</f>
        <v>(B.)機體周遭氣溫為攝氏零度以下。</v>
      </c>
      <c r="D420" s="2"/>
      <c r="E420" s="2"/>
      <c r="F420" s="2"/>
      <c r="G420" s="2"/>
      <c r="H420" s="2"/>
      <c r="I420" s="2"/>
    </row>
    <row r="421" spans="1:9" s="3" customFormat="1" x14ac:dyDescent="0.3">
      <c r="A421" s="2"/>
      <c r="B421" s="2"/>
      <c r="C421" s="7" t="str">
        <f>"(C.)"&amp;F418</f>
        <v>(C.)有可見水氣。</v>
      </c>
      <c r="D421" s="2"/>
      <c r="E421" s="2"/>
      <c r="F421" s="2"/>
      <c r="G421" s="2"/>
      <c r="H421" s="2"/>
      <c r="I421" s="2"/>
    </row>
    <row r="422" spans="1:9" s="3" customFormat="1" x14ac:dyDescent="0.3">
      <c r="A422" s="2"/>
      <c r="B422" s="2"/>
      <c r="C422" s="7" t="str">
        <f>"(D.)"&amp;G418</f>
        <v>(D.)以上皆是。</v>
      </c>
      <c r="D422" s="2"/>
      <c r="E422" s="2"/>
      <c r="F422" s="2"/>
      <c r="G422" s="2"/>
      <c r="H422" s="2"/>
      <c r="I422" s="2"/>
    </row>
    <row r="423" spans="1:9" s="3" customFormat="1" x14ac:dyDescent="0.3">
      <c r="A423" s="2"/>
      <c r="B423" s="2"/>
      <c r="C423" s="7" t="str">
        <f>"答案是： "&amp;IF(H418="A",C419,IF(H418="B",C420,IF(H418="C",C421,IF(H418=("D"),C422,"XXXX"))))</f>
        <v>答案是： (D.)以上皆是。</v>
      </c>
      <c r="D423" s="2"/>
      <c r="E423" s="2"/>
      <c r="F423" s="2"/>
      <c r="G423" s="2"/>
      <c r="H423" s="2"/>
      <c r="I423" s="2"/>
    </row>
    <row r="424" spans="1:9" s="3" customFormat="1" ht="60" x14ac:dyDescent="0.3">
      <c r="A424" s="2"/>
      <c r="B424" s="2"/>
      <c r="C424" s="7" t="str">
        <f>"說明："&amp;I418</f>
        <v>說明：結構積冰發生的兩個核心物理條件缺一不可：第一是環境溫度處於攝氏零度或零度以下(過冷環境)；第二是空氣中存在大量的「可見水氣」(如雲、霧、雨、雪)。故以上皆是。</v>
      </c>
      <c r="D424" s="2"/>
      <c r="E424" s="2"/>
      <c r="F424" s="2"/>
      <c r="G424" s="2"/>
      <c r="H424" s="2"/>
      <c r="I424" s="2"/>
    </row>
    <row r="425" spans="1:9" s="3" customFormat="1" ht="60" x14ac:dyDescent="0.3">
      <c r="A425" s="4" t="str">
        <f>dB題庫!A68</f>
        <v>67</v>
      </c>
      <c r="B425" s="4" t="str">
        <f>dB題庫!B68</f>
        <v>當遙控無人機飛越結冰區域時,可能發生下列哪種狀況</v>
      </c>
      <c r="C425" s="4" t="str">
        <f t="shared" si="1"/>
        <v>67.當遙控無人機飛越結冰區域時,可能發生下列哪種狀況</v>
      </c>
      <c r="D425" s="4" t="str">
        <f>dB題庫!C68</f>
        <v>影響或誤判遙控無人機飛行性能表現。</v>
      </c>
      <c r="E425" s="4" t="str">
        <f>dB題庫!D68</f>
        <v>提升遙控無人機飛行性能表現。</v>
      </c>
      <c r="F425" s="4" t="str">
        <f>dB題庫!E68</f>
        <v>遙控無人機飛行性能表現可能變好或變壞。</v>
      </c>
      <c r="G425" s="4" t="str">
        <f>dB題庫!F68</f>
        <v>不太可能發生任何狀況。</v>
      </c>
      <c r="H425" s="4" t="str">
        <f>dB題庫!G68</f>
        <v>A</v>
      </c>
      <c r="I425" s="4" t="str">
        <f>dB題庫!H68</f>
        <v>積冰會使機體重量暴增、操縱面卡死、並破壞空氣動力外形導致失速速度大幅提高。這會嚴重「影響或使操作人誤判遙控無人機的真實飛行性能表現」，導致不可挽回的空難事故。</v>
      </c>
    </row>
    <row r="426" spans="1:9" s="3" customFormat="1" x14ac:dyDescent="0.3">
      <c r="A426" s="2" t="s">
        <v>99</v>
      </c>
      <c r="B426" s="1"/>
      <c r="C426" s="7" t="str">
        <f>"(A.)"&amp;D425</f>
        <v>(A.)影響或誤判遙控無人機飛行性能表現。</v>
      </c>
      <c r="D426" s="2"/>
      <c r="E426" s="2"/>
      <c r="F426" s="2"/>
      <c r="G426" s="2"/>
      <c r="H426" s="2"/>
      <c r="I426" s="2"/>
    </row>
    <row r="427" spans="1:9" s="3" customFormat="1" x14ac:dyDescent="0.3">
      <c r="A427" s="2"/>
      <c r="B427" s="1"/>
      <c r="C427" s="7" t="str">
        <f>"(B.)"&amp;E425</f>
        <v>(B.)提升遙控無人機飛行性能表現。</v>
      </c>
      <c r="D427" s="2"/>
      <c r="E427" s="2"/>
      <c r="F427" s="2"/>
      <c r="G427" s="2"/>
      <c r="H427" s="2"/>
      <c r="I427" s="2"/>
    </row>
    <row r="428" spans="1:9" s="3" customFormat="1" x14ac:dyDescent="0.3">
      <c r="A428" s="2"/>
      <c r="B428" s="2"/>
      <c r="C428" s="7" t="str">
        <f>"(C.)"&amp;F425</f>
        <v>(C.)遙控無人機飛行性能表現可能變好或變壞。</v>
      </c>
      <c r="D428" s="2"/>
      <c r="E428" s="2"/>
      <c r="F428" s="2"/>
      <c r="G428" s="2"/>
      <c r="H428" s="2"/>
      <c r="I428" s="2"/>
    </row>
    <row r="429" spans="1:9" s="3" customFormat="1" x14ac:dyDescent="0.3">
      <c r="A429" s="2"/>
      <c r="B429" s="2"/>
      <c r="C429" s="7" t="str">
        <f>"(D.)"&amp;G425</f>
        <v>(D.)不太可能發生任何狀況。</v>
      </c>
      <c r="D429" s="2"/>
      <c r="E429" s="2"/>
      <c r="F429" s="2"/>
      <c r="G429" s="2"/>
      <c r="H429" s="2"/>
      <c r="I429" s="2"/>
    </row>
    <row r="430" spans="1:9" s="3" customFormat="1" ht="30" x14ac:dyDescent="0.3">
      <c r="A430" s="2"/>
      <c r="B430" s="2"/>
      <c r="C430" s="7" t="str">
        <f>"答案是： "&amp;IF(H425="A",C426,IF(H425="B",C427,IF(H425="C",C428,IF(H425=("D"),C429,"XXXX"))))</f>
        <v>答案是： (A.)影響或誤判遙控無人機飛行性能表現。</v>
      </c>
      <c r="D430" s="2"/>
      <c r="E430" s="2"/>
      <c r="F430" s="2"/>
      <c r="G430" s="2"/>
      <c r="H430" s="2"/>
      <c r="I430" s="2"/>
    </row>
    <row r="431" spans="1:9" s="3" customFormat="1" ht="75" x14ac:dyDescent="0.3">
      <c r="A431" s="2"/>
      <c r="B431" s="2"/>
      <c r="C431" s="7" t="str">
        <f>"說明："&amp;I425</f>
        <v>說明：積冰會使機體重量暴增、操縱面卡死、並破壞空氣動力外形導致失速速度大幅提高。這會嚴重「影響或使操作人誤判遙控無人機的真實飛行性能表現」，導致不可挽回的空難事故。</v>
      </c>
      <c r="D431" s="2"/>
      <c r="E431" s="2"/>
      <c r="F431" s="2"/>
      <c r="G431" s="2"/>
      <c r="H431" s="2"/>
      <c r="I431" s="2"/>
    </row>
    <row r="432" spans="1:9" s="3" customFormat="1" ht="45" x14ac:dyDescent="0.3">
      <c r="A432" s="4" t="str">
        <f>dB題庫!A69</f>
        <v>68</v>
      </c>
      <c r="B432" s="4" t="str">
        <f>dB題庫!B69</f>
        <v>雷雨的發展循環不包含下列何者</v>
      </c>
      <c r="C432" s="4" t="str">
        <f t="shared" si="1"/>
        <v>68.雷雨的發展循環不包含下列何者</v>
      </c>
      <c r="D432" s="4" t="str">
        <f>dB題庫!C69</f>
        <v>發展期。</v>
      </c>
      <c r="E432" s="4" t="str">
        <f>dB題庫!D69</f>
        <v>成熟期。</v>
      </c>
      <c r="F432" s="4" t="str">
        <f>dB題庫!E69</f>
        <v>重疊期。</v>
      </c>
      <c r="G432" s="4" t="str">
        <f>dB題庫!F69</f>
        <v>消散期。</v>
      </c>
      <c r="H432" s="4" t="str">
        <f>dB題庫!G69</f>
        <v>C</v>
      </c>
      <c r="I432" s="4" t="str">
        <f>dB題庫!H69</f>
        <v>標準雷雨(Thunderstorm)的單細胞生命週期在氣象學上精準地劃分為三個階段：1. 發展期(積雲期，全為上升氣流)、2. 成熟期(同時具備上升與下沉氣流，破壞力最強)、3. 消散期(全為下沉氣流)。「重疊期」並非其發展階段。</v>
      </c>
    </row>
    <row r="433" spans="1:9" s="3" customFormat="1" x14ac:dyDescent="0.3">
      <c r="A433" s="2" t="s">
        <v>99</v>
      </c>
      <c r="B433" s="1"/>
      <c r="C433" s="7" t="str">
        <f>"(A.)"&amp;D432</f>
        <v>(A.)發展期。</v>
      </c>
      <c r="D433" s="2"/>
      <c r="E433" s="2"/>
      <c r="F433" s="2"/>
      <c r="G433" s="2"/>
      <c r="H433" s="2"/>
      <c r="I433" s="2"/>
    </row>
    <row r="434" spans="1:9" s="3" customFormat="1" x14ac:dyDescent="0.3">
      <c r="A434" s="2"/>
      <c r="B434" s="1"/>
      <c r="C434" s="7" t="str">
        <f>"(B.)"&amp;E432</f>
        <v>(B.)成熟期。</v>
      </c>
      <c r="D434" s="2"/>
      <c r="E434" s="2"/>
      <c r="F434" s="2"/>
      <c r="G434" s="2"/>
      <c r="H434" s="2"/>
      <c r="I434" s="2"/>
    </row>
    <row r="435" spans="1:9" s="3" customFormat="1" x14ac:dyDescent="0.3">
      <c r="A435" s="2"/>
      <c r="B435" s="2"/>
      <c r="C435" s="7" t="str">
        <f>"(C.)"&amp;F432</f>
        <v>(C.)重疊期。</v>
      </c>
      <c r="D435" s="2"/>
      <c r="E435" s="2"/>
      <c r="F435" s="2"/>
      <c r="G435" s="2"/>
      <c r="H435" s="2"/>
      <c r="I435" s="2"/>
    </row>
    <row r="436" spans="1:9" s="3" customFormat="1" x14ac:dyDescent="0.3">
      <c r="A436" s="2"/>
      <c r="B436" s="2"/>
      <c r="C436" s="7" t="str">
        <f>"(D.)"&amp;G432</f>
        <v>(D.)消散期。</v>
      </c>
      <c r="D436" s="2"/>
      <c r="E436" s="2"/>
      <c r="F436" s="2"/>
      <c r="G436" s="2"/>
      <c r="H436" s="2"/>
      <c r="I436" s="2"/>
    </row>
    <row r="437" spans="1:9" s="3" customFormat="1" x14ac:dyDescent="0.3">
      <c r="A437" s="2"/>
      <c r="B437" s="2"/>
      <c r="C437" s="7" t="str">
        <f>"答案是： "&amp;IF(H432="A",C433,IF(H432="B",C434,IF(H432="C",C435,IF(H432=("D"),C436,"XXXX"))))</f>
        <v>答案是： (C.)重疊期。</v>
      </c>
      <c r="D437" s="2"/>
      <c r="E437" s="2"/>
      <c r="F437" s="2"/>
      <c r="G437" s="2"/>
      <c r="H437" s="2"/>
      <c r="I437" s="2"/>
    </row>
    <row r="438" spans="1:9" s="3" customFormat="1" ht="75" x14ac:dyDescent="0.3">
      <c r="A438" s="2"/>
      <c r="B438" s="2"/>
      <c r="C438" s="7" t="str">
        <f>"說明："&amp;I432</f>
        <v>說明：標準雷雨(Thunderstorm)的單細胞生命週期在氣象學上精準地劃分為三個階段：1. 發展期(積雲期，全為上升氣流)、2. 成熟期(同時具備上升與下沉氣流，破壞力最強)、3. 消散期(全為下沉氣流)。「重疊期」並非其發展階段。</v>
      </c>
      <c r="D438" s="2"/>
      <c r="E438" s="2"/>
      <c r="F438" s="2"/>
      <c r="G438" s="2"/>
      <c r="H438" s="2"/>
      <c r="I438" s="2"/>
    </row>
    <row r="439" spans="1:9" s="3" customFormat="1" ht="45" x14ac:dyDescent="0.3">
      <c r="A439" s="4" t="str">
        <f>dB題庫!A70</f>
        <v>69</v>
      </c>
      <c r="B439" s="4" t="str">
        <f>dB題庫!B70</f>
        <v>雷雨成熟期具有的特徵為何</v>
      </c>
      <c r="C439" s="4" t="str">
        <f t="shared" si="1"/>
        <v>69.雷雨成熟期具有的特徵為何</v>
      </c>
      <c r="D439" s="4" t="str">
        <f>dB題庫!C70</f>
        <v>下沉氣流。</v>
      </c>
      <c r="E439" s="4" t="str">
        <f>dB題庫!D70</f>
        <v>開始降水。</v>
      </c>
      <c r="F439" s="4" t="str">
        <f>dB題庫!E70</f>
        <v>打雷。</v>
      </c>
      <c r="G439" s="4" t="str">
        <f>dB題庫!F70</f>
        <v>以上皆是。</v>
      </c>
      <c r="H439" s="4" t="str">
        <f>dB題庫!G70</f>
        <v>D</v>
      </c>
      <c r="I439" s="4" t="str">
        <f>dB題庫!H70</f>
        <v>「成熟期」是雷雨威脅達到頂峰的階段。其核心特徵為：高空冰晶與大雨滴突破上升氣流屏障開始猛烈向地面「降水(下雨或冰雹)」，降水拖曳空氣形成強烈的「下沉氣流」，並伴隨著劇烈的閃電與「打雷」。</v>
      </c>
    </row>
    <row r="440" spans="1:9" s="3" customFormat="1" x14ac:dyDescent="0.3">
      <c r="A440" s="2" t="s">
        <v>99</v>
      </c>
      <c r="B440" s="1"/>
      <c r="C440" s="7" t="str">
        <f>"(A.)"&amp;D439</f>
        <v>(A.)下沉氣流。</v>
      </c>
      <c r="D440" s="2"/>
      <c r="E440" s="2"/>
      <c r="F440" s="2"/>
      <c r="G440" s="2"/>
      <c r="H440" s="2"/>
      <c r="I440" s="2"/>
    </row>
    <row r="441" spans="1:9" s="3" customFormat="1" x14ac:dyDescent="0.3">
      <c r="A441" s="2"/>
      <c r="B441" s="1"/>
      <c r="C441" s="7" t="str">
        <f>"(B.)"&amp;E439</f>
        <v>(B.)開始降水。</v>
      </c>
      <c r="D441" s="2"/>
      <c r="E441" s="2"/>
      <c r="F441" s="2"/>
      <c r="G441" s="2"/>
      <c r="H441" s="2"/>
      <c r="I441" s="2"/>
    </row>
    <row r="442" spans="1:9" s="3" customFormat="1" x14ac:dyDescent="0.3">
      <c r="A442" s="2"/>
      <c r="B442" s="2"/>
      <c r="C442" s="7" t="str">
        <f>"(C.)"&amp;F439</f>
        <v>(C.)打雷。</v>
      </c>
      <c r="D442" s="2"/>
      <c r="E442" s="2"/>
      <c r="F442" s="2"/>
      <c r="G442" s="2"/>
      <c r="H442" s="2"/>
      <c r="I442" s="2"/>
    </row>
    <row r="443" spans="1:9" s="3" customFormat="1" x14ac:dyDescent="0.3">
      <c r="A443" s="2"/>
      <c r="B443" s="2"/>
      <c r="C443" s="7" t="str">
        <f>"(D.)"&amp;G439</f>
        <v>(D.)以上皆是。</v>
      </c>
      <c r="D443" s="2"/>
      <c r="E443" s="2"/>
      <c r="F443" s="2"/>
      <c r="G443" s="2"/>
      <c r="H443" s="2"/>
      <c r="I443" s="2"/>
    </row>
    <row r="444" spans="1:9" s="3" customFormat="1" x14ac:dyDescent="0.3">
      <c r="A444" s="2"/>
      <c r="B444" s="2"/>
      <c r="C444" s="7" t="str">
        <f>"答案是： "&amp;IF(H439="A",C440,IF(H439="B",C441,IF(H439="C",C442,IF(H439=("D"),C443,"XXXX"))))</f>
        <v>答案是： (D.)以上皆是。</v>
      </c>
      <c r="D444" s="2"/>
      <c r="E444" s="2"/>
      <c r="F444" s="2"/>
      <c r="G444" s="2"/>
      <c r="H444" s="2"/>
      <c r="I444" s="2"/>
    </row>
    <row r="445" spans="1:9" s="3" customFormat="1" ht="75" x14ac:dyDescent="0.3">
      <c r="A445" s="2"/>
      <c r="B445" s="2"/>
      <c r="C445" s="7" t="str">
        <f>"說明："&amp;I439</f>
        <v>說明：「成熟期」是雷雨威脅達到頂峰的階段。其核心特徵為：高空冰晶與大雨滴突破上升氣流屏障開始猛烈向地面「降水(下雨或冰雹)」，降水拖曳空氣形成強烈的「下沉氣流」，並伴隨著劇烈的閃電與「打雷」。</v>
      </c>
      <c r="D445" s="2"/>
      <c r="E445" s="2"/>
      <c r="F445" s="2"/>
      <c r="G445" s="2"/>
      <c r="H445" s="2"/>
      <c r="I445" s="2"/>
    </row>
    <row r="446" spans="1:9" s="3" customFormat="1" ht="45" x14ac:dyDescent="0.3">
      <c r="A446" s="4" t="str">
        <f>dB題庫!A71</f>
        <v>70</v>
      </c>
      <c r="B446" s="4" t="str">
        <f>dB題庫!B71</f>
        <v>雷雨消散期具有的特徵為何</v>
      </c>
      <c r="C446" s="4" t="str">
        <f t="shared" ref="C446:C530" si="2">A446&amp;"."&amp;B446</f>
        <v>70.雷雨消散期具有的特徵為何</v>
      </c>
      <c r="D446" s="4" t="str">
        <f>dB題庫!C71</f>
        <v>降雨減緩。</v>
      </c>
      <c r="E446" s="4" t="str">
        <f>dB題庫!D71</f>
        <v>下沉氣流減緩。</v>
      </c>
      <c r="F446" s="4" t="str">
        <f>dB題庫!E71</f>
        <v>雷雨雹消散。</v>
      </c>
      <c r="G446" s="4" t="str">
        <f>dB題庫!F71</f>
        <v>以上皆是。</v>
      </c>
      <c r="H446" s="4" t="str">
        <f>dB題庫!G71</f>
        <v>D</v>
      </c>
      <c r="I446" s="4" t="str">
        <f>dB題庫!H71</f>
        <v>進入「消散期」後，雷雨內部的上升對流動力耗盡，整座雲體被溫和的下沉氣流所主導。此時，地面的地面「降雨開始逐漸減緩」，雲中的「雷雨雹(對流胞)逐漸消散」，「下沉氣流也隨之逐漸減緩」直至平息。</v>
      </c>
    </row>
    <row r="447" spans="1:9" s="3" customFormat="1" x14ac:dyDescent="0.3">
      <c r="A447" s="2" t="s">
        <v>99</v>
      </c>
      <c r="B447" s="1"/>
      <c r="C447" s="7" t="str">
        <f>"(A.)"&amp;D446</f>
        <v>(A.)降雨減緩。</v>
      </c>
      <c r="D447" s="2"/>
      <c r="E447" s="2"/>
      <c r="F447" s="2"/>
      <c r="G447" s="2"/>
      <c r="H447" s="2"/>
      <c r="I447" s="2"/>
    </row>
    <row r="448" spans="1:9" s="3" customFormat="1" x14ac:dyDescent="0.3">
      <c r="A448" s="2"/>
      <c r="B448" s="1"/>
      <c r="C448" s="7" t="str">
        <f>"(B.)"&amp;E446</f>
        <v>(B.)下沉氣流減緩。</v>
      </c>
      <c r="D448" s="2"/>
      <c r="E448" s="2"/>
      <c r="F448" s="2"/>
      <c r="G448" s="2"/>
      <c r="H448" s="2"/>
      <c r="I448" s="2"/>
    </row>
    <row r="449" spans="1:9" s="3" customFormat="1" x14ac:dyDescent="0.3">
      <c r="A449" s="2"/>
      <c r="B449" s="2"/>
      <c r="C449" s="7" t="str">
        <f>"(C.)"&amp;F446</f>
        <v>(C.)雷雨雹消散。</v>
      </c>
      <c r="D449" s="2"/>
      <c r="E449" s="2"/>
      <c r="F449" s="2"/>
      <c r="G449" s="2"/>
      <c r="H449" s="2"/>
      <c r="I449" s="2"/>
    </row>
    <row r="450" spans="1:9" s="3" customFormat="1" x14ac:dyDescent="0.3">
      <c r="A450" s="2"/>
      <c r="B450" s="2"/>
      <c r="C450" s="7" t="str">
        <f>"(D.)"&amp;G446</f>
        <v>(D.)以上皆是。</v>
      </c>
      <c r="D450" s="2"/>
      <c r="E450" s="2"/>
      <c r="F450" s="2"/>
      <c r="G450" s="2"/>
      <c r="H450" s="2"/>
      <c r="I450" s="2"/>
    </row>
    <row r="451" spans="1:9" s="3" customFormat="1" x14ac:dyDescent="0.3">
      <c r="A451" s="2"/>
      <c r="B451" s="2"/>
      <c r="C451" s="7" t="str">
        <f>"答案是： "&amp;IF(H446="A",C447,IF(H446="B",C448,IF(H446="C",C449,IF(H446=("D"),C450,"XXXX"))))</f>
        <v>答案是： (D.)以上皆是。</v>
      </c>
      <c r="D451" s="2"/>
      <c r="E451" s="2"/>
      <c r="F451" s="2"/>
      <c r="G451" s="2"/>
      <c r="H451" s="2"/>
      <c r="I451" s="2"/>
    </row>
    <row r="452" spans="1:9" s="3" customFormat="1" ht="75" x14ac:dyDescent="0.3">
      <c r="A452" s="2"/>
      <c r="B452" s="2"/>
      <c r="C452" s="7" t="str">
        <f>"說明："&amp;I446</f>
        <v>說明：進入「消散期」後，雷雨內部的上升對流動力耗盡，整座雲體被溫和的下沉氣流所主導。此時，地面的地面「降雨開始逐漸減緩」，雲中的「雷雨雹(對流胞)逐漸消散」，「下沉氣流也隨之逐漸減緩」直至平息。</v>
      </c>
      <c r="D452" s="2"/>
      <c r="E452" s="2"/>
      <c r="F452" s="2"/>
      <c r="G452" s="2"/>
      <c r="H452" s="2"/>
      <c r="I452" s="2"/>
    </row>
    <row r="453" spans="1:9" s="3" customFormat="1" ht="45" x14ac:dyDescent="0.3">
      <c r="A453" s="4" t="str">
        <f>dB題庫!A72</f>
        <v>71</v>
      </c>
      <c r="B453" s="4" t="str">
        <f>dB題庫!B72</f>
        <v>臺北航空氣象中心隸屬於下列哪個機關</v>
      </c>
      <c r="C453" s="4" t="str">
        <f t="shared" si="2"/>
        <v>71.臺北航空氣象中心隸屬於下列哪個機關</v>
      </c>
      <c r="D453" s="4" t="str">
        <f>dB題庫!C72</f>
        <v>交通部觀光局飛航服務總臺。</v>
      </c>
      <c r="E453" s="4" t="str">
        <f>dB題庫!D72</f>
        <v>交通部民用航空局飛航服務總臺。</v>
      </c>
      <c r="F453" s="4" t="str">
        <f>dB題庫!E72</f>
        <v>交通部中央氣象局飛航服務總臺。</v>
      </c>
      <c r="G453" s="4" t="str">
        <f>dB題庫!F72</f>
        <v>交通部航政司飛航服務總臺。</v>
      </c>
      <c r="H453" s="4" t="str">
        <f>dB題庫!G72</f>
        <v>B</v>
      </c>
      <c r="I453" s="4" t="str">
        <f>dB題庫!H72</f>
        <v>我國專責提供民用航空飛航氣象情報服務的「臺北航空氣象中心」，在組織編制上隸屬於「交通部民用航空局飛航服務總臺」(A N W S)。</v>
      </c>
    </row>
    <row r="454" spans="1:9" s="3" customFormat="1" x14ac:dyDescent="0.3">
      <c r="A454" s="2" t="s">
        <v>99</v>
      </c>
      <c r="B454" s="1"/>
      <c r="C454" s="7" t="str">
        <f>"(A.)"&amp;D453</f>
        <v>(A.)交通部觀光局飛航服務總臺。</v>
      </c>
      <c r="D454" s="2"/>
      <c r="E454" s="2"/>
      <c r="F454" s="2"/>
      <c r="G454" s="2"/>
      <c r="H454" s="2"/>
      <c r="I454" s="2"/>
    </row>
    <row r="455" spans="1:9" s="3" customFormat="1" x14ac:dyDescent="0.3">
      <c r="A455" s="2"/>
      <c r="B455" s="1"/>
      <c r="C455" s="7" t="str">
        <f>"(B.)"&amp;E453</f>
        <v>(B.)交通部民用航空局飛航服務總臺。</v>
      </c>
      <c r="D455" s="2"/>
      <c r="E455" s="2"/>
      <c r="F455" s="2"/>
      <c r="G455" s="2"/>
      <c r="H455" s="2"/>
      <c r="I455" s="2"/>
    </row>
    <row r="456" spans="1:9" s="3" customFormat="1" x14ac:dyDescent="0.3">
      <c r="A456" s="2"/>
      <c r="B456" s="2"/>
      <c r="C456" s="7" t="str">
        <f>"(C.)"&amp;F453</f>
        <v>(C.)交通部中央氣象局飛航服務總臺。</v>
      </c>
      <c r="D456" s="2"/>
      <c r="E456" s="2"/>
      <c r="F456" s="2"/>
      <c r="G456" s="2"/>
      <c r="H456" s="2"/>
      <c r="I456" s="2"/>
    </row>
    <row r="457" spans="1:9" s="3" customFormat="1" x14ac:dyDescent="0.3">
      <c r="A457" s="2"/>
      <c r="B457" s="2"/>
      <c r="C457" s="7" t="str">
        <f>"(D.)"&amp;G453</f>
        <v>(D.)交通部航政司飛航服務總臺。</v>
      </c>
      <c r="D457" s="2"/>
      <c r="E457" s="2"/>
      <c r="F457" s="2"/>
      <c r="G457" s="2"/>
      <c r="H457" s="2"/>
      <c r="I457" s="2"/>
    </row>
    <row r="458" spans="1:9" s="3" customFormat="1" x14ac:dyDescent="0.3">
      <c r="A458" s="2"/>
      <c r="B458" s="2"/>
      <c r="C458" s="7" t="str">
        <f>"答案是： "&amp;IF(H453="A",C454,IF(H453="B",C455,IF(H453="C",C456,IF(H453=("D"),C457,"XXXX"))))</f>
        <v>答案是： (B.)交通部民用航空局飛航服務總臺。</v>
      </c>
      <c r="D458" s="2"/>
      <c r="E458" s="2"/>
      <c r="F458" s="2"/>
      <c r="G458" s="2"/>
      <c r="H458" s="2"/>
      <c r="I458" s="2"/>
    </row>
    <row r="459" spans="1:9" s="3" customFormat="1" ht="60" x14ac:dyDescent="0.3">
      <c r="A459" s="2"/>
      <c r="B459" s="2"/>
      <c r="C459" s="7" t="str">
        <f>"說明："&amp;I453</f>
        <v>說明：我國專責提供民用航空飛航氣象情報服務的「臺北航空氣象中心」，在組織編制上隸屬於「交通部民用航空局飛航服務總臺」(A N W S)。</v>
      </c>
      <c r="D459" s="2"/>
      <c r="E459" s="2"/>
      <c r="F459" s="2"/>
      <c r="G459" s="2"/>
      <c r="H459" s="2"/>
      <c r="I459" s="2"/>
    </row>
    <row r="460" spans="1:9" s="3" customFormat="1" ht="60" x14ac:dyDescent="0.3">
      <c r="A460" s="4" t="str">
        <f>dB題庫!A73</f>
        <v>72</v>
      </c>
      <c r="B460" s="4" t="str">
        <f>dB題庫!B73</f>
        <v>遙控無人機操作人可透過中央氣象局網頁取得下列哪項資料</v>
      </c>
      <c r="C460" s="4" t="str">
        <f t="shared" si="2"/>
        <v>72.遙控無人機操作人可透過中央氣象局網頁取得下列哪項資料</v>
      </c>
      <c r="D460" s="4" t="str">
        <f>dB題庫!C73</f>
        <v>天氣觀測資料。</v>
      </c>
      <c r="E460" s="4" t="str">
        <f>dB題庫!D73</f>
        <v>天氣預報資料。</v>
      </c>
      <c r="F460" s="4" t="str">
        <f>dB題庫!E73</f>
        <v>衛星雲圖。</v>
      </c>
      <c r="G460" s="4" t="str">
        <f>dB題庫!F73</f>
        <v>以上皆是。</v>
      </c>
      <c r="H460" s="4" t="str">
        <f>dB題庫!G73</f>
        <v>D</v>
      </c>
      <c r="I460" s="4" t="str">
        <f>dB題庫!H73</f>
        <v>我國國家級氣象主管機關(現已升格為交通部中央氣象署)網站提供了極其詳盡的氣象公開資訊，包含即時的「天氣觀測資料」、各時段的「天氣預報資料」以及即時更新的「衛星雲圖」，均可作為無人機飛行前計畫的參考依據。</v>
      </c>
    </row>
    <row r="461" spans="1:9" s="3" customFormat="1" x14ac:dyDescent="0.3">
      <c r="A461" s="2" t="s">
        <v>99</v>
      </c>
      <c r="B461" s="1"/>
      <c r="C461" s="7" t="str">
        <f>"(A.)"&amp;D460</f>
        <v>(A.)天氣觀測資料。</v>
      </c>
      <c r="D461" s="2"/>
      <c r="E461" s="2"/>
      <c r="F461" s="2"/>
      <c r="G461" s="2"/>
      <c r="H461" s="2"/>
      <c r="I461" s="2"/>
    </row>
    <row r="462" spans="1:9" s="3" customFormat="1" x14ac:dyDescent="0.3">
      <c r="A462" s="2"/>
      <c r="B462" s="1"/>
      <c r="C462" s="7" t="str">
        <f>"(B.)"&amp;E460</f>
        <v>(B.)天氣預報資料。</v>
      </c>
      <c r="D462" s="2"/>
      <c r="E462" s="2"/>
      <c r="F462" s="2"/>
      <c r="G462" s="2"/>
      <c r="H462" s="2"/>
      <c r="I462" s="2"/>
    </row>
    <row r="463" spans="1:9" s="3" customFormat="1" x14ac:dyDescent="0.3">
      <c r="A463" s="2"/>
      <c r="B463" s="2"/>
      <c r="C463" s="7" t="str">
        <f>"(C.)"&amp;F460</f>
        <v>(C.)衛星雲圖。</v>
      </c>
      <c r="D463" s="2"/>
      <c r="E463" s="2"/>
      <c r="F463" s="2"/>
      <c r="G463" s="2"/>
      <c r="H463" s="2"/>
      <c r="I463" s="2"/>
    </row>
    <row r="464" spans="1:9" s="3" customFormat="1" x14ac:dyDescent="0.3">
      <c r="A464" s="2"/>
      <c r="B464" s="2"/>
      <c r="C464" s="7" t="str">
        <f>"(D.)"&amp;G460</f>
        <v>(D.)以上皆是。</v>
      </c>
      <c r="D464" s="2"/>
      <c r="E464" s="2"/>
      <c r="F464" s="2"/>
      <c r="G464" s="2"/>
      <c r="H464" s="2"/>
      <c r="I464" s="2"/>
    </row>
    <row r="465" spans="1:9" s="3" customFormat="1" x14ac:dyDescent="0.3">
      <c r="A465" s="2"/>
      <c r="B465" s="2"/>
      <c r="C465" s="7" t="str">
        <f>"答案是： "&amp;IF(H460="A",C461,IF(H460="B",C462,IF(H460="C",C463,IF(H460=("D"),C464,"XXXX"))))</f>
        <v>答案是： (D.)以上皆是。</v>
      </c>
      <c r="D465" s="2"/>
      <c r="E465" s="2"/>
      <c r="F465" s="2"/>
      <c r="G465" s="2"/>
      <c r="H465" s="2"/>
      <c r="I465" s="2"/>
    </row>
    <row r="466" spans="1:9" s="3" customFormat="1" ht="90" x14ac:dyDescent="0.3">
      <c r="A466" s="2"/>
      <c r="B466" s="2"/>
      <c r="C466" s="7" t="str">
        <f>"說明："&amp;I460</f>
        <v>說明：我國國家級氣象主管機關(現已升格為交通部中央氣象署)網站提供了極其詳盡的氣象公開資訊，包含即時的「天氣觀測資料」、各時段的「天氣預報資料」以及即時更新的「衛星雲圖」，均可作為無人機飛行前計畫的參考依據。</v>
      </c>
      <c r="D466" s="2"/>
      <c r="E466" s="2"/>
      <c r="F466" s="2"/>
      <c r="G466" s="2"/>
      <c r="H466" s="2"/>
      <c r="I466" s="2"/>
    </row>
    <row r="467" spans="1:9" s="3" customFormat="1" ht="45" x14ac:dyDescent="0.3">
      <c r="A467" s="4" t="str">
        <f>dB題庫!A74</f>
        <v>73</v>
      </c>
      <c r="B467" s="4" t="str">
        <f>dB題庫!B74</f>
        <v>遙控無人機操作人可透過飛航服務總臺所建置之航空氣象服務網(AOAWS)取得下列哪項資料</v>
      </c>
      <c r="C467" s="4" t="str">
        <f t="shared" si="2"/>
        <v>73.遙控無人機操作人可透過飛航服務總臺所建置之航空氣象服務網(AOAWS)取得下列哪項資料</v>
      </c>
      <c r="D467" s="4" t="str">
        <f>dB題庫!C74</f>
        <v>國內外主要機場之即時觀測資料。</v>
      </c>
      <c r="E467" s="4" t="str">
        <f>dB題庫!D74</f>
        <v>國內機場6小時天氣預報資料。</v>
      </c>
      <c r="F467" s="4" t="str">
        <f>dB題庫!E74</f>
        <v>太平洋地區衛星雲圖。</v>
      </c>
      <c r="G467" s="4" t="str">
        <f>dB題庫!F74</f>
        <v>高空風溫圖。</v>
      </c>
      <c r="H467" s="4" t="str">
        <f>dB題庫!G74</f>
        <v>A</v>
      </c>
      <c r="I467" s="4" t="str">
        <f>dB題庫!H74</f>
        <v>交通部民航局飛航服務總臺建置的航空氣象服務網(A O A W S)主要是針對專業航空飛行員提供即時服務，操作人可登入查詢「國內外主要機場之即時觀測資料(如 METAR 報文)」以精確評估起降環境。</v>
      </c>
    </row>
    <row r="468" spans="1:9" s="3" customFormat="1" x14ac:dyDescent="0.3">
      <c r="A468" s="2" t="s">
        <v>99</v>
      </c>
      <c r="B468" s="1"/>
      <c r="C468" s="7" t="str">
        <f>"(A.)"&amp;D467</f>
        <v>(A.)國內外主要機場之即時觀測資料。</v>
      </c>
      <c r="D468" s="2"/>
      <c r="E468" s="2"/>
      <c r="F468" s="2"/>
      <c r="G468" s="2"/>
      <c r="H468" s="2"/>
      <c r="I468" s="2"/>
    </row>
    <row r="469" spans="1:9" s="3" customFormat="1" x14ac:dyDescent="0.3">
      <c r="A469" s="2"/>
      <c r="B469" s="1"/>
      <c r="C469" s="7" t="str">
        <f>"(B.)"&amp;E467</f>
        <v>(B.)國內機場6小時天氣預報資料。</v>
      </c>
      <c r="D469" s="2"/>
      <c r="E469" s="2"/>
      <c r="F469" s="2"/>
      <c r="G469" s="2"/>
      <c r="H469" s="2"/>
      <c r="I469" s="2"/>
    </row>
    <row r="470" spans="1:9" s="3" customFormat="1" x14ac:dyDescent="0.3">
      <c r="A470" s="2"/>
      <c r="B470" s="2"/>
      <c r="C470" s="7" t="str">
        <f>"(C.)"&amp;F467</f>
        <v>(C.)太平洋地區衛星雲圖。</v>
      </c>
      <c r="D470" s="2"/>
      <c r="E470" s="2"/>
      <c r="F470" s="2"/>
      <c r="G470" s="2"/>
      <c r="H470" s="2"/>
      <c r="I470" s="2"/>
    </row>
    <row r="471" spans="1:9" s="3" customFormat="1" x14ac:dyDescent="0.3">
      <c r="A471" s="2"/>
      <c r="B471" s="2"/>
      <c r="C471" s="7" t="str">
        <f>"(D.)"&amp;G467</f>
        <v>(D.)高空風溫圖。</v>
      </c>
      <c r="D471" s="2"/>
      <c r="E471" s="2"/>
      <c r="F471" s="2"/>
      <c r="G471" s="2"/>
      <c r="H471" s="2"/>
      <c r="I471" s="2"/>
    </row>
    <row r="472" spans="1:9" s="3" customFormat="1" x14ac:dyDescent="0.3">
      <c r="A472" s="2"/>
      <c r="B472" s="2"/>
      <c r="C472" s="7" t="str">
        <f>"答案是： "&amp;IF(H467="A",C468,IF(H467="B",C469,IF(H467="C",C470,IF(H467=("D"),C471,"XXXX"))))</f>
        <v>答案是： (A.)國內外主要機場之即時觀測資料。</v>
      </c>
      <c r="D472" s="2"/>
      <c r="E472" s="2"/>
      <c r="F472" s="2"/>
      <c r="G472" s="2"/>
      <c r="H472" s="2"/>
      <c r="I472" s="2"/>
    </row>
    <row r="473" spans="1:9" s="3" customFormat="1" ht="75" x14ac:dyDescent="0.3">
      <c r="A473" s="2"/>
      <c r="B473" s="2"/>
      <c r="C473" s="7" t="str">
        <f>"說明："&amp;I467</f>
        <v>說明：交通部民航局飛航服務總臺建置的航空氣象服務網(A O A W S)主要是針對專業航空飛行員提供即時服務，操作人可登入查詢「國內外主要機場之即時觀測資料(如 METAR 報文)」以精確評估起降環境。</v>
      </c>
      <c r="D473" s="2"/>
      <c r="E473" s="2"/>
      <c r="F473" s="2"/>
      <c r="G473" s="2"/>
      <c r="H473" s="2"/>
      <c r="I473" s="2"/>
    </row>
    <row r="474" spans="1:9" s="3" customFormat="1" ht="45" x14ac:dyDescent="0.3">
      <c r="A474" s="4" t="str">
        <f>dB題庫!A75</f>
        <v>74</v>
      </c>
      <c r="B474" s="4" t="str">
        <f>dB題庫!B75</f>
        <v>考量天氣條件對於遙控無人機操控行為之影響,遙控無人機操作人應具備下列何者之基礎判讀能力</v>
      </c>
      <c r="C474" s="4" t="str">
        <f t="shared" si="2"/>
        <v>74.考量天氣條件對於遙控無人機操控行為之影響,遙控無人機操作人應具備下列何者之基礎判讀能力</v>
      </c>
      <c r="D474" s="4" t="str">
        <f>dB題庫!C75</f>
        <v>航空氣象報文。</v>
      </c>
      <c r="E474" s="4" t="str">
        <f>dB題庫!D75</f>
        <v>國內城市氣象報文。</v>
      </c>
      <c r="F474" s="4" t="str">
        <f>dB題庫!E75</f>
        <v>外國城市氣象報文。</v>
      </c>
      <c r="G474" s="4" t="str">
        <f>dB題庫!F75</f>
        <v>觀光地區氣象報文。</v>
      </c>
      <c r="H474" s="4" t="str">
        <f>dB題庫!G75</f>
        <v>A</v>
      </c>
      <c r="I474" s="4" t="str">
        <f>dB題庫!H75</f>
        <v>為確保國家空域安全與精準氣象評估，無人機操作人(特別是考取普通與專業操作證者)應具備解讀標準「航空氣象報文」(如 METAR 機場例行天氣報告、TAF 機場預報)的基礎判讀與應用能力。</v>
      </c>
    </row>
    <row r="475" spans="1:9" s="3" customFormat="1" x14ac:dyDescent="0.3">
      <c r="A475" s="2" t="s">
        <v>99</v>
      </c>
      <c r="B475" s="1"/>
      <c r="C475" s="7" t="str">
        <f>"(A.)"&amp;D474</f>
        <v>(A.)航空氣象報文。</v>
      </c>
      <c r="D475" s="2"/>
      <c r="E475" s="2"/>
      <c r="F475" s="2"/>
      <c r="G475" s="2"/>
      <c r="H475" s="2"/>
      <c r="I475" s="2"/>
    </row>
    <row r="476" spans="1:9" s="3" customFormat="1" x14ac:dyDescent="0.3">
      <c r="A476" s="2"/>
      <c r="B476" s="1"/>
      <c r="C476" s="7" t="str">
        <f>"(B.)"&amp;E474</f>
        <v>(B.)國內城市氣象報文。</v>
      </c>
      <c r="D476" s="2"/>
      <c r="E476" s="2"/>
      <c r="F476" s="2"/>
      <c r="G476" s="2"/>
      <c r="H476" s="2"/>
      <c r="I476" s="2"/>
    </row>
    <row r="477" spans="1:9" s="3" customFormat="1" x14ac:dyDescent="0.3">
      <c r="A477" s="2"/>
      <c r="B477" s="2"/>
      <c r="C477" s="7" t="str">
        <f>"(C.)"&amp;F474</f>
        <v>(C.)外國城市氣象報文。</v>
      </c>
      <c r="D477" s="2"/>
      <c r="E477" s="2"/>
      <c r="F477" s="2"/>
      <c r="G477" s="2"/>
      <c r="H477" s="2"/>
      <c r="I477" s="2"/>
    </row>
    <row r="478" spans="1:9" s="3" customFormat="1" x14ac:dyDescent="0.3">
      <c r="A478" s="2"/>
      <c r="B478" s="2"/>
      <c r="C478" s="7" t="str">
        <f>"(D.)"&amp;G474</f>
        <v>(D.)觀光地區氣象報文。</v>
      </c>
      <c r="D478" s="2"/>
      <c r="E478" s="2"/>
      <c r="F478" s="2"/>
      <c r="G478" s="2"/>
      <c r="H478" s="2"/>
      <c r="I478" s="2"/>
    </row>
    <row r="479" spans="1:9" s="3" customFormat="1" x14ac:dyDescent="0.3">
      <c r="A479" s="2"/>
      <c r="B479" s="2"/>
      <c r="C479" s="7" t="str">
        <f>"答案是： "&amp;IF(H474="A",C475,IF(H474="B",C476,IF(H474="C",C477,IF(H474=("D"),C478,"XXXX"))))</f>
        <v>答案是： (A.)航空氣象報文。</v>
      </c>
      <c r="D479" s="2"/>
      <c r="E479" s="2"/>
      <c r="F479" s="2"/>
      <c r="G479" s="2"/>
      <c r="H479" s="2"/>
      <c r="I479" s="2"/>
    </row>
    <row r="480" spans="1:9" s="3" customFormat="1" ht="75" x14ac:dyDescent="0.3">
      <c r="A480" s="2"/>
      <c r="B480" s="2"/>
      <c r="C480" s="7" t="str">
        <f>"說明："&amp;I474</f>
        <v>說明：為確保國家空域安全與精準氣象評估，無人機操作人(特別是考取普通與專業操作證者)應具備解讀標準「航空氣象報文」(如 METAR 機場例行天氣報告、TAF 機場預報)的基礎判讀與應用能力。</v>
      </c>
      <c r="D480" s="2"/>
      <c r="E480" s="2"/>
      <c r="F480" s="2"/>
      <c r="G480" s="2"/>
      <c r="H480" s="2"/>
      <c r="I480" s="2"/>
    </row>
    <row r="481" spans="1:9" s="3" customFormat="1" ht="45" x14ac:dyDescent="0.3">
      <c r="A481" s="4" t="str">
        <f>dB題庫!A76</f>
        <v>75</v>
      </c>
      <c r="B481" s="4" t="str">
        <f>dB題庫!B76</f>
        <v>航空例行天氣報告中,所使用觀測日期與時間及其代碼說明為下列何者</v>
      </c>
      <c r="C481" s="4" t="str">
        <f t="shared" si="2"/>
        <v>75.航空例行天氣報告中,所使用觀測日期與時間及其代碼說明為下列何者</v>
      </c>
      <c r="D481" s="4" t="str">
        <f>dB題庫!C76</f>
        <v>Z字母指示碼;代表UTC時間。</v>
      </c>
      <c r="E481" s="4" t="str">
        <f>dB題庫!D76</f>
        <v>L字母指示碼;代表本地時間。</v>
      </c>
      <c r="F481" s="4" t="str">
        <f>dB題庫!E76</f>
        <v>T字母指示碼;代表UTC時間。</v>
      </c>
      <c r="G481" s="4" t="str">
        <f>dB題庫!F76</f>
        <v>X字母指示碼;代表本地時間。</v>
      </c>
      <c r="H481" s="4" t="str">
        <f>dB題庫!G76</f>
        <v>A</v>
      </c>
      <c r="I481" s="4" t="str">
        <f>dB題庫!H76</f>
        <v>全球航空界與標準航空氣象報告(METAR)統一採用協調世界時(U T C)，並在時間數字後方加上字母「Z」作為指示代碼(俗稱祖魯時間，Zulu time)，以避免各國時區混淆。</v>
      </c>
    </row>
    <row r="482" spans="1:9" s="3" customFormat="1" x14ac:dyDescent="0.3">
      <c r="A482" s="2" t="s">
        <v>99</v>
      </c>
      <c r="B482" s="1"/>
      <c r="C482" s="7" t="str">
        <f>"(A.)"&amp;D481</f>
        <v>(A.)Z字母指示碼;代表UTC時間。</v>
      </c>
      <c r="D482" s="2"/>
      <c r="E482" s="2"/>
      <c r="F482" s="2"/>
      <c r="G482" s="2"/>
      <c r="H482" s="2"/>
      <c r="I482" s="2"/>
    </row>
    <row r="483" spans="1:9" s="3" customFormat="1" x14ac:dyDescent="0.3">
      <c r="A483" s="2"/>
      <c r="B483" s="1"/>
      <c r="C483" s="7" t="str">
        <f>"(B.)"&amp;E481</f>
        <v>(B.)L字母指示碼;代表本地時間。</v>
      </c>
      <c r="D483" s="2"/>
      <c r="E483" s="2"/>
      <c r="F483" s="2"/>
      <c r="G483" s="2"/>
      <c r="H483" s="2"/>
      <c r="I483" s="2"/>
    </row>
    <row r="484" spans="1:9" s="3" customFormat="1" x14ac:dyDescent="0.3">
      <c r="A484" s="2"/>
      <c r="B484" s="2"/>
      <c r="C484" s="7" t="str">
        <f>"(C.)"&amp;F481</f>
        <v>(C.)T字母指示碼;代表UTC時間。</v>
      </c>
      <c r="D484" s="2"/>
      <c r="E484" s="2"/>
      <c r="F484" s="2"/>
      <c r="G484" s="2"/>
      <c r="H484" s="2"/>
      <c r="I484" s="2"/>
    </row>
    <row r="485" spans="1:9" s="3" customFormat="1" x14ac:dyDescent="0.3">
      <c r="A485" s="2"/>
      <c r="B485" s="2"/>
      <c r="C485" s="7" t="str">
        <f>"(D.)"&amp;G481</f>
        <v>(D.)X字母指示碼;代表本地時間。</v>
      </c>
      <c r="D485" s="2"/>
      <c r="E485" s="2"/>
      <c r="F485" s="2"/>
      <c r="G485" s="2"/>
      <c r="H485" s="2"/>
      <c r="I485" s="2"/>
    </row>
    <row r="486" spans="1:9" s="3" customFormat="1" x14ac:dyDescent="0.3">
      <c r="A486" s="2"/>
      <c r="B486" s="2"/>
      <c r="C486" s="7" t="str">
        <f>"答案是： "&amp;IF(H481="A",C482,IF(H481="B",C483,IF(H481="C",C484,IF(H481=("D"),C485,"XXXX"))))</f>
        <v>答案是： (A.)Z字母指示碼;代表UTC時間。</v>
      </c>
      <c r="D486" s="2"/>
      <c r="E486" s="2"/>
      <c r="F486" s="2"/>
      <c r="G486" s="2"/>
      <c r="H486" s="2"/>
      <c r="I486" s="2"/>
    </row>
    <row r="487" spans="1:9" s="3" customFormat="1" ht="60" x14ac:dyDescent="0.3">
      <c r="A487" s="2"/>
      <c r="B487" s="2"/>
      <c r="C487" s="7" t="str">
        <f>"說明："&amp;I481</f>
        <v>說明：全球航空界與標準航空氣象報告(METAR)統一採用協調世界時(U T C)，並在時間數字後方加上字母「Z」作為指示代碼(俗稱祖魯時間，Zulu time)，以避免各國時區混淆。</v>
      </c>
      <c r="D487" s="2"/>
      <c r="E487" s="2"/>
      <c r="F487" s="2"/>
      <c r="G487" s="2"/>
      <c r="H487" s="2"/>
      <c r="I487" s="2"/>
    </row>
    <row r="488" spans="1:9" s="3" customFormat="1" ht="45" x14ac:dyDescent="0.3">
      <c r="A488" s="4" t="str">
        <f>dB題庫!A77</f>
        <v>76</v>
      </c>
      <c r="B488" s="4" t="str">
        <f>dB題庫!B77</f>
        <v>航空例行天氣報告中,所觀測盛行能見度值,其編報方式及單位為何</v>
      </c>
      <c r="C488" s="4" t="str">
        <f t="shared" si="2"/>
        <v>76.航空例行天氣報告中,所觀測盛行能見度值,其編報方式及單位為何</v>
      </c>
      <c r="D488" s="4" t="str">
        <f>dB題庫!C77</f>
        <v>4碼(公尺)。</v>
      </c>
      <c r="E488" s="4" t="str">
        <f>dB題庫!D77</f>
        <v>6碼(公尺)。</v>
      </c>
      <c r="F488" s="4" t="str">
        <f>dB題庫!E77</f>
        <v>8碼(公尺)。</v>
      </c>
      <c r="G488" s="4" t="str">
        <f>dB題庫!F77</f>
        <v>10碼(公尺)。</v>
      </c>
      <c r="H488" s="4" t="str">
        <f>dB題庫!G77</f>
        <v>A</v>
      </c>
      <c r="I488" s="4" t="str">
        <f>dB題庫!H77</f>
        <v>在 METAR 航空天氣報告中，盛行能見度(Prevailing Visibility)是固定以「4位數字」來編報，且其計量標準單位為「公尺」(例如 9999 代表能見度 10 公里以上；4000 代表 4,000 公尺)。</v>
      </c>
    </row>
    <row r="489" spans="1:9" s="3" customFormat="1" x14ac:dyDescent="0.3">
      <c r="A489" s="2" t="s">
        <v>99</v>
      </c>
      <c r="B489" s="1"/>
      <c r="C489" s="7" t="str">
        <f>"(A.)"&amp;D488</f>
        <v>(A.)4碼(公尺)。</v>
      </c>
      <c r="D489" s="2"/>
      <c r="E489" s="2"/>
      <c r="F489" s="2"/>
      <c r="G489" s="2"/>
      <c r="H489" s="2"/>
      <c r="I489" s="2"/>
    </row>
    <row r="490" spans="1:9" s="3" customFormat="1" x14ac:dyDescent="0.3">
      <c r="A490" s="2"/>
      <c r="B490" s="1"/>
      <c r="C490" s="7" t="str">
        <f>"(B.)"&amp;E488</f>
        <v>(B.)6碼(公尺)。</v>
      </c>
      <c r="D490" s="2"/>
      <c r="E490" s="2"/>
      <c r="F490" s="2"/>
      <c r="G490" s="2"/>
      <c r="H490" s="2"/>
      <c r="I490" s="2"/>
    </row>
    <row r="491" spans="1:9" s="3" customFormat="1" x14ac:dyDescent="0.3">
      <c r="A491" s="2"/>
      <c r="B491" s="2"/>
      <c r="C491" s="7" t="str">
        <f>"(C.)"&amp;F488</f>
        <v>(C.)8碼(公尺)。</v>
      </c>
      <c r="D491" s="2"/>
      <c r="E491" s="2"/>
      <c r="F491" s="2"/>
      <c r="G491" s="2"/>
      <c r="H491" s="2"/>
      <c r="I491" s="2"/>
    </row>
    <row r="492" spans="1:9" s="3" customFormat="1" x14ac:dyDescent="0.3">
      <c r="A492" s="2"/>
      <c r="B492" s="2"/>
      <c r="C492" s="7" t="str">
        <f>"(D.)"&amp;G488</f>
        <v>(D.)10碼(公尺)。</v>
      </c>
      <c r="D492" s="2"/>
      <c r="E492" s="2"/>
      <c r="F492" s="2"/>
      <c r="G492" s="2"/>
      <c r="H492" s="2"/>
      <c r="I492" s="2"/>
    </row>
    <row r="493" spans="1:9" s="3" customFormat="1" x14ac:dyDescent="0.3">
      <c r="A493" s="2"/>
      <c r="B493" s="2"/>
      <c r="C493" s="7" t="str">
        <f>"答案是： "&amp;IF(H488="A",C489,IF(H488="B",C490,IF(H488="C",C491,IF(H488=("D"),C492,"XXXX"))))</f>
        <v>答案是： (A.)4碼(公尺)。</v>
      </c>
      <c r="D493" s="2"/>
      <c r="E493" s="2"/>
      <c r="F493" s="2"/>
      <c r="G493" s="2"/>
      <c r="H493" s="2"/>
      <c r="I493" s="2"/>
    </row>
    <row r="494" spans="1:9" s="3" customFormat="1" ht="60" x14ac:dyDescent="0.3">
      <c r="A494" s="2"/>
      <c r="B494" s="2"/>
      <c r="C494" s="7" t="str">
        <f>"說明："&amp;I488</f>
        <v>說明：在 METAR 航空天氣報告中，盛行能見度(Prevailing Visibility)是固定以「4位數字」來編報，且其計量標準單位為「公尺」(例如 9999 代表能見度 10 公里以上；4000 代表 4,000 公尺)。</v>
      </c>
      <c r="D494" s="2"/>
      <c r="E494" s="2"/>
      <c r="F494" s="2"/>
      <c r="G494" s="2"/>
      <c r="H494" s="2"/>
      <c r="I494" s="2"/>
    </row>
    <row r="495" spans="1:9" s="3" customFormat="1" ht="45" x14ac:dyDescent="0.3">
      <c r="A495" s="4" t="str">
        <f>dB題庫!A78</f>
        <v>77</v>
      </c>
      <c r="B495" s="4" t="str">
        <f>dB題庫!B78</f>
        <v>航空氣象觀測員將天空劃分成8等份,若觀測到1/8至2/8的天空被雲層遮蓋,該雲量類別稱為下列何者</v>
      </c>
      <c r="C495" s="4" t="str">
        <f t="shared" si="2"/>
        <v>77.航空氣象觀測員將天空劃分成8等份,若觀測到1/8至2/8的天空被雲層遮蓋,該雲量類別稱為下列何者</v>
      </c>
      <c r="D495" s="4" t="str">
        <f>dB題庫!C78</f>
        <v>稀雲。</v>
      </c>
      <c r="E495" s="4" t="str">
        <f>dB題庫!D78</f>
        <v>疏雲。</v>
      </c>
      <c r="F495" s="4" t="str">
        <f>dB題庫!E78</f>
        <v>裂雲。</v>
      </c>
      <c r="G495" s="4" t="str">
        <f>dB題庫!F78</f>
        <v>密雲。</v>
      </c>
      <c r="H495" s="4" t="str">
        <f>dB題庫!G78</f>
        <v>A</v>
      </c>
      <c r="I495" s="4" t="str">
        <f>dB題庫!H78</f>
        <v>國際民航組織規定雲量以 8 分量(Octas)代表：1/8 至 2/8 被雲遮蔽時，航空天氣報文代碼編為 F E W，中文官方學名翻譯為「稀雲」。
【】口訣： 1 2 稀 3 4 疏 5 7 裂 8 密</v>
      </c>
    </row>
    <row r="496" spans="1:9" s="3" customFormat="1" x14ac:dyDescent="0.3">
      <c r="A496" s="2" t="s">
        <v>99</v>
      </c>
      <c r="B496" s="1"/>
      <c r="C496" s="7" t="str">
        <f>"(A.)"&amp;D495</f>
        <v>(A.)稀雲。</v>
      </c>
      <c r="D496" s="2"/>
      <c r="E496" s="2"/>
      <c r="F496" s="2"/>
      <c r="G496" s="2"/>
      <c r="H496" s="2"/>
      <c r="I496" s="2"/>
    </row>
    <row r="497" spans="1:9" s="3" customFormat="1" x14ac:dyDescent="0.3">
      <c r="A497" s="2"/>
      <c r="B497" s="1"/>
      <c r="C497" s="7" t="str">
        <f>"(B.)"&amp;E495</f>
        <v>(B.)疏雲。</v>
      </c>
      <c r="D497" s="2"/>
      <c r="E497" s="2"/>
      <c r="F497" s="2"/>
      <c r="G497" s="2"/>
      <c r="H497" s="2"/>
      <c r="I497" s="2"/>
    </row>
    <row r="498" spans="1:9" s="3" customFormat="1" x14ac:dyDescent="0.3">
      <c r="A498" s="2"/>
      <c r="B498" s="2"/>
      <c r="C498" s="7" t="str">
        <f>"(C.)"&amp;F495</f>
        <v>(C.)裂雲。</v>
      </c>
      <c r="D498" s="2"/>
      <c r="E498" s="2"/>
      <c r="F498" s="2"/>
      <c r="G498" s="2"/>
      <c r="H498" s="2"/>
      <c r="I498" s="2"/>
    </row>
    <row r="499" spans="1:9" s="3" customFormat="1" x14ac:dyDescent="0.3">
      <c r="A499" s="2"/>
      <c r="B499" s="2"/>
      <c r="C499" s="7" t="str">
        <f>"(D.)"&amp;G495</f>
        <v>(D.)密雲。</v>
      </c>
      <c r="D499" s="2"/>
      <c r="E499" s="2"/>
      <c r="F499" s="2"/>
      <c r="G499" s="2"/>
      <c r="H499" s="2"/>
      <c r="I499" s="2"/>
    </row>
    <row r="500" spans="1:9" s="3" customFormat="1" x14ac:dyDescent="0.3">
      <c r="A500" s="2"/>
      <c r="B500" s="2"/>
      <c r="C500" s="7" t="str">
        <f>"答案是： "&amp;IF(H495="A",C496,IF(H495="B",C497,IF(H495="C",C498,IF(H495=("D"),C499,"XXXX"))))</f>
        <v>答案是： (A.)稀雲。</v>
      </c>
      <c r="D500" s="2"/>
      <c r="E500" s="2"/>
      <c r="F500" s="2"/>
      <c r="G500" s="2"/>
      <c r="H500" s="2"/>
      <c r="I500" s="2"/>
    </row>
    <row r="501" spans="1:9" s="3" customFormat="1" ht="60" x14ac:dyDescent="0.3">
      <c r="A501" s="2"/>
      <c r="B501" s="2"/>
      <c r="C501" s="7" t="str">
        <f>"說明："&amp;I495</f>
        <v>說明：國際民航組織規定雲量以 8 分量(Octas)代表：1/8 至 2/8 被雲遮蔽時，航空天氣報文代碼編為 F E W，中文官方學名翻譯為「稀雲」。
【】口訣： 1 2 稀 3 4 疏 5 7 裂 8 密</v>
      </c>
      <c r="D501" s="2"/>
      <c r="E501" s="2"/>
      <c r="F501" s="2"/>
      <c r="G501" s="2"/>
      <c r="H501" s="2"/>
      <c r="I501" s="2"/>
    </row>
    <row r="502" spans="1:9" s="3" customFormat="1" ht="45" x14ac:dyDescent="0.3">
      <c r="A502" s="4" t="str">
        <f>dB題庫!A79</f>
        <v>78</v>
      </c>
      <c r="B502" s="4" t="str">
        <f>dB題庫!B79</f>
        <v>航空氣象觀測員將天空劃分成8等份,若觀測到3/8至4/8的天空被雲層遮蓋,該雲量類別稱為下列何者</v>
      </c>
      <c r="C502" s="4" t="str">
        <f t="shared" si="2"/>
        <v>78.航空氣象觀測員將天空劃分成8等份,若觀測到3/8至4/8的天空被雲層遮蓋,該雲量類別稱為下列何者</v>
      </c>
      <c r="D502" s="4" t="str">
        <f>dB題庫!C79</f>
        <v>稀雲。</v>
      </c>
      <c r="E502" s="4" t="str">
        <f>dB題庫!D79</f>
        <v>疏雲。</v>
      </c>
      <c r="F502" s="4" t="str">
        <f>dB題庫!E79</f>
        <v>裂雲。</v>
      </c>
      <c r="G502" s="4" t="str">
        <f>dB題庫!F79</f>
        <v>密雲。</v>
      </c>
      <c r="H502" s="4" t="str">
        <f>dB題庫!G79</f>
        <v>B</v>
      </c>
      <c r="I502" s="4" t="str">
        <f>dB題庫!H79</f>
        <v>當觀測到天空有 3/8 至 4/8 被雲層覆蓋遮蔽時，航空天氣報文使用的代碼為 S C T (Scattered)，對應的中文官方標準雲量類別名詞為「疏雲」。
【】口訣： 1 2 稀 3 4 疏 5 7 裂 8 密</v>
      </c>
    </row>
    <row r="503" spans="1:9" s="3" customFormat="1" x14ac:dyDescent="0.3">
      <c r="A503" s="2" t="s">
        <v>99</v>
      </c>
      <c r="B503" s="1"/>
      <c r="C503" s="7" t="str">
        <f>"(A.)"&amp;D502</f>
        <v>(A.)稀雲。</v>
      </c>
      <c r="D503" s="2"/>
      <c r="E503" s="2"/>
      <c r="F503" s="2"/>
      <c r="G503" s="2"/>
      <c r="H503" s="2"/>
      <c r="I503" s="2"/>
    </row>
    <row r="504" spans="1:9" s="3" customFormat="1" x14ac:dyDescent="0.3">
      <c r="A504" s="2"/>
      <c r="B504" s="1"/>
      <c r="C504" s="7" t="str">
        <f>"(B.)"&amp;E502</f>
        <v>(B.)疏雲。</v>
      </c>
      <c r="D504" s="2"/>
      <c r="E504" s="2"/>
      <c r="F504" s="2"/>
      <c r="G504" s="2"/>
      <c r="H504" s="2"/>
      <c r="I504" s="2"/>
    </row>
    <row r="505" spans="1:9" s="3" customFormat="1" x14ac:dyDescent="0.3">
      <c r="A505" s="2"/>
      <c r="B505" s="2"/>
      <c r="C505" s="7" t="str">
        <f>"(C.)"&amp;F502</f>
        <v>(C.)裂雲。</v>
      </c>
      <c r="D505" s="2"/>
      <c r="E505" s="2"/>
      <c r="F505" s="2"/>
      <c r="G505" s="2"/>
      <c r="H505" s="2"/>
      <c r="I505" s="2"/>
    </row>
    <row r="506" spans="1:9" s="3" customFormat="1" x14ac:dyDescent="0.3">
      <c r="A506" s="2"/>
      <c r="B506" s="2"/>
      <c r="C506" s="7" t="str">
        <f>"(D.)"&amp;G502</f>
        <v>(D.)密雲。</v>
      </c>
      <c r="D506" s="2"/>
      <c r="E506" s="2"/>
      <c r="F506" s="2"/>
      <c r="G506" s="2"/>
      <c r="H506" s="2"/>
      <c r="I506" s="2"/>
    </row>
    <row r="507" spans="1:9" s="3" customFormat="1" x14ac:dyDescent="0.3">
      <c r="A507" s="2"/>
      <c r="B507" s="2"/>
      <c r="C507" s="7" t="str">
        <f>"答案是： "&amp;IF(H502="A",C503,IF(H502="B",C504,IF(H502="C",C505,IF(H502=("D"),C506,"XXXX"))))</f>
        <v>答案是： (B.)疏雲。</v>
      </c>
      <c r="D507" s="2"/>
      <c r="E507" s="2"/>
      <c r="F507" s="2"/>
      <c r="G507" s="2"/>
      <c r="H507" s="2"/>
      <c r="I507" s="2"/>
    </row>
    <row r="508" spans="1:9" s="3" customFormat="1" ht="75" x14ac:dyDescent="0.3">
      <c r="A508" s="2"/>
      <c r="B508" s="2"/>
      <c r="C508" s="7" t="str">
        <f>"說明："&amp;I502</f>
        <v>說明：當觀測到天空有 3/8 至 4/8 被雲層覆蓋遮蔽時，航空天氣報文使用的代碼為 S C T (Scattered)，對應的中文官方標準雲量類別名詞為「疏雲」。
【】口訣： 1 2 稀 3 4 疏 5 7 裂 8 密</v>
      </c>
      <c r="D508" s="2"/>
      <c r="E508" s="2"/>
      <c r="F508" s="2"/>
      <c r="G508" s="2"/>
      <c r="H508" s="2"/>
      <c r="I508" s="2"/>
    </row>
    <row r="509" spans="1:9" s="3" customFormat="1" ht="45" x14ac:dyDescent="0.3">
      <c r="A509" s="4" t="str">
        <f>dB題庫!A80</f>
        <v>79</v>
      </c>
      <c r="B509" s="4" t="str">
        <f>dB題庫!B80</f>
        <v>航空氣象觀測員將天空劃分成8等份,若觀測到5/8至7/8的天空被雲層遮蓋,該雲量類別稱為下列何者</v>
      </c>
      <c r="C509" s="4" t="str">
        <f t="shared" si="2"/>
        <v>79.航空氣象觀測員將天空劃分成8等份,若觀測到5/8至7/8的天空被雲層遮蓋,該雲量類別稱為下列何者</v>
      </c>
      <c r="D509" s="4" t="str">
        <f>dB題庫!C80</f>
        <v>稀雲。</v>
      </c>
      <c r="E509" s="4" t="str">
        <f>dB題庫!D80</f>
        <v>疏雲。</v>
      </c>
      <c r="F509" s="4" t="str">
        <f>dB題庫!E80</f>
        <v>裂雲。</v>
      </c>
      <c r="G509" s="4" t="str">
        <f>dB題庫!F80</f>
        <v>密雲。</v>
      </c>
      <c r="H509" s="4" t="str">
        <f>dB題庫!G80</f>
        <v>C</v>
      </c>
      <c r="I509" s="4" t="str">
        <f>dB題庫!H80</f>
        <v>當天空有高達 5/8 至 7/8 的大面積被雲層遮蔽、僅剩少許縫隙時，航空天氣報告使用的代碼為 B K N (Broken)，中文標準分類名稱為「裂雲」。
【】口訣： 1 2 稀 3 4 疏 5 7 裂 8 密</v>
      </c>
    </row>
    <row r="510" spans="1:9" s="3" customFormat="1" x14ac:dyDescent="0.3">
      <c r="A510" s="2" t="s">
        <v>99</v>
      </c>
      <c r="B510" s="1"/>
      <c r="C510" s="7" t="str">
        <f>"(A.)"&amp;D509</f>
        <v>(A.)稀雲。</v>
      </c>
      <c r="D510" s="2"/>
      <c r="E510" s="2"/>
      <c r="F510" s="2"/>
      <c r="G510" s="2"/>
      <c r="H510" s="2"/>
      <c r="I510" s="2"/>
    </row>
    <row r="511" spans="1:9" s="3" customFormat="1" x14ac:dyDescent="0.3">
      <c r="A511" s="2"/>
      <c r="B511" s="1"/>
      <c r="C511" s="7" t="str">
        <f>"(B.)"&amp;E509</f>
        <v>(B.)疏雲。</v>
      </c>
      <c r="D511" s="2"/>
      <c r="E511" s="2"/>
      <c r="F511" s="2"/>
      <c r="G511" s="2"/>
      <c r="H511" s="2"/>
      <c r="I511" s="2"/>
    </row>
    <row r="512" spans="1:9" s="3" customFormat="1" x14ac:dyDescent="0.3">
      <c r="A512" s="2"/>
      <c r="B512" s="2"/>
      <c r="C512" s="7" t="str">
        <f>"(C.)"&amp;F509</f>
        <v>(C.)裂雲。</v>
      </c>
      <c r="D512" s="2"/>
      <c r="E512" s="2"/>
      <c r="F512" s="2"/>
      <c r="G512" s="2"/>
      <c r="H512" s="2"/>
      <c r="I512" s="2"/>
    </row>
    <row r="513" spans="1:9" s="3" customFormat="1" x14ac:dyDescent="0.3">
      <c r="A513" s="2"/>
      <c r="B513" s="2"/>
      <c r="C513" s="7" t="str">
        <f>"(D.)"&amp;G509</f>
        <v>(D.)密雲。</v>
      </c>
      <c r="D513" s="2"/>
      <c r="E513" s="2"/>
      <c r="F513" s="2"/>
      <c r="G513" s="2"/>
      <c r="H513" s="2"/>
      <c r="I513" s="2"/>
    </row>
    <row r="514" spans="1:9" s="3" customFormat="1" x14ac:dyDescent="0.3">
      <c r="A514" s="2"/>
      <c r="B514" s="2"/>
      <c r="C514" s="7" t="str">
        <f>"答案是： "&amp;IF(H509="A",C510,IF(H509="B",C511,IF(H509="C",C512,IF(H509=("D"),C513,"XXXX"))))</f>
        <v>答案是： (C.)裂雲。</v>
      </c>
      <c r="D514" s="2"/>
      <c r="E514" s="2"/>
      <c r="F514" s="2"/>
      <c r="G514" s="2"/>
      <c r="H514" s="2"/>
      <c r="I514" s="2"/>
    </row>
    <row r="515" spans="1:9" s="3" customFormat="1" ht="75" x14ac:dyDescent="0.3">
      <c r="A515" s="2"/>
      <c r="B515" s="2"/>
      <c r="C515" s="7" t="str">
        <f>"說明："&amp;I509</f>
        <v>說明：當天空有高達 5/8 至 7/8 的大面積被雲層遮蔽、僅剩少許縫隙時，航空天氣報告使用的代碼為 B K N (Broken)，中文標準分類名稱為「裂雲」。
【】口訣： 1 2 稀 3 4 疏 5 7 裂 8 密</v>
      </c>
      <c r="D515" s="2"/>
      <c r="E515" s="2"/>
      <c r="F515" s="2"/>
      <c r="G515" s="2"/>
      <c r="H515" s="2"/>
      <c r="I515" s="2"/>
    </row>
    <row r="516" spans="1:9" s="3" customFormat="1" ht="45" x14ac:dyDescent="0.3">
      <c r="A516" s="4" t="str">
        <f>dB題庫!A81</f>
        <v>80</v>
      </c>
      <c r="B516" s="4" t="str">
        <f>dB題庫!B81</f>
        <v>航空氣象觀測員將天空劃分成8等份,若觀測到8/8的天空完全被雲層遮蓋,該雲量類別稱為下列何者</v>
      </c>
      <c r="C516" s="4" t="str">
        <f t="shared" si="2"/>
        <v>80.航空氣象觀測員將天空劃分成8等份,若觀測到8/8的天空完全被雲層遮蓋,該雲量類別稱為下列何者</v>
      </c>
      <c r="D516" s="4" t="str">
        <f>dB題庫!C81</f>
        <v>稀雲。</v>
      </c>
      <c r="E516" s="4" t="str">
        <f>dB題庫!D81</f>
        <v>疏雲。</v>
      </c>
      <c r="F516" s="4" t="str">
        <f>dB題庫!E81</f>
        <v>裂雲。</v>
      </c>
      <c r="G516" s="4" t="str">
        <f>dB題庫!F81</f>
        <v>密雲。</v>
      </c>
      <c r="H516" s="4" t="str">
        <f>dB題庫!G81</f>
        <v>D</v>
      </c>
      <c r="I516" s="4" t="str">
        <f>dB題庫!H81</f>
        <v>當觀測到 8/8 全天被雲層徹底遮蔽、看不見任何晴空時，航空天氣報告編報代碼為 O V C (Overcast)，對應的官方中文標準雲量類別為「密雲」。
【】口訣： 1 2 稀 3 4 疏 5 7 裂 8 密</v>
      </c>
    </row>
    <row r="517" spans="1:9" s="3" customFormat="1" x14ac:dyDescent="0.3">
      <c r="A517" s="2" t="s">
        <v>99</v>
      </c>
      <c r="B517" s="1"/>
      <c r="C517" s="7" t="str">
        <f>"(A.)"&amp;D516</f>
        <v>(A.)稀雲。</v>
      </c>
      <c r="D517" s="2"/>
      <c r="E517" s="2"/>
      <c r="F517" s="2"/>
      <c r="G517" s="2"/>
      <c r="H517" s="2"/>
      <c r="I517" s="2"/>
    </row>
    <row r="518" spans="1:9" s="3" customFormat="1" x14ac:dyDescent="0.3">
      <c r="A518" s="2"/>
      <c r="B518" s="1"/>
      <c r="C518" s="7" t="str">
        <f>"(B.)"&amp;E516</f>
        <v>(B.)疏雲。</v>
      </c>
      <c r="D518" s="2"/>
      <c r="E518" s="2"/>
      <c r="F518" s="2"/>
      <c r="G518" s="2"/>
      <c r="H518" s="2"/>
      <c r="I518" s="2"/>
    </row>
    <row r="519" spans="1:9" s="3" customFormat="1" x14ac:dyDescent="0.3">
      <c r="A519" s="2"/>
      <c r="B519" s="2"/>
      <c r="C519" s="7" t="str">
        <f>"(C.)"&amp;F516</f>
        <v>(C.)裂雲。</v>
      </c>
      <c r="D519" s="2"/>
      <c r="E519" s="2"/>
      <c r="F519" s="2"/>
      <c r="G519" s="2"/>
      <c r="H519" s="2"/>
      <c r="I519" s="2"/>
    </row>
    <row r="520" spans="1:9" s="3" customFormat="1" x14ac:dyDescent="0.3">
      <c r="A520" s="2"/>
      <c r="B520" s="2"/>
      <c r="C520" s="7" t="str">
        <f>"(D.)"&amp;G516</f>
        <v>(D.)密雲。</v>
      </c>
      <c r="D520" s="2"/>
      <c r="E520" s="2"/>
      <c r="F520" s="2"/>
      <c r="G520" s="2"/>
      <c r="H520" s="2"/>
      <c r="I520" s="2"/>
    </row>
    <row r="521" spans="1:9" s="3" customFormat="1" x14ac:dyDescent="0.3">
      <c r="A521" s="2"/>
      <c r="B521" s="2"/>
      <c r="C521" s="7" t="str">
        <f>"答案是： "&amp;IF(H516="A",C517,IF(H516="B",C518,IF(H516="C",C519,IF(H516=("D"),C520,"XXXX"))))</f>
        <v>答案是： (D.)密雲。</v>
      </c>
      <c r="D521" s="2"/>
      <c r="E521" s="2"/>
      <c r="F521" s="2"/>
      <c r="G521" s="2"/>
      <c r="H521" s="2"/>
      <c r="I521" s="2"/>
    </row>
    <row r="522" spans="1:9" s="3" customFormat="1" ht="75" x14ac:dyDescent="0.3">
      <c r="A522" s="2"/>
      <c r="B522" s="2"/>
      <c r="C522" s="7" t="str">
        <f>"說明："&amp;I516</f>
        <v>說明：當觀測到 8/8 全天被雲層徹底遮蔽、看不見任何晴空時，航空天氣報告編報代碼為 O V C (Overcast)，對應的官方中文標準雲量類別為「密雲」。
【】口訣： 1 2 稀 3 4 疏 5 7 裂 8 密</v>
      </c>
      <c r="D522" s="2"/>
      <c r="E522" s="2"/>
      <c r="F522" s="2"/>
      <c r="G522" s="2"/>
      <c r="H522" s="2"/>
      <c r="I522" s="2"/>
    </row>
    <row r="523" spans="1:9" s="3" customFormat="1" ht="45" x14ac:dyDescent="0.3">
      <c r="A523" s="4" t="str">
        <f>dB題庫!A82</f>
        <v>81</v>
      </c>
      <c r="B523" s="4" t="str">
        <f>dB題庫!B82</f>
        <v>航空例行天氣報告中,雲層之雲底高度單位為下列哪一個</v>
      </c>
      <c r="C523" s="4" t="str">
        <f t="shared" si="2"/>
        <v>81.航空例行天氣報告中,雲層之雲底高度單位為下列哪一個</v>
      </c>
      <c r="D523" s="4" t="str">
        <f>dB題庫!C82</f>
        <v>公尺。</v>
      </c>
      <c r="E523" s="4" t="str">
        <f>dB題庫!D82</f>
        <v>公里.</v>
      </c>
      <c r="F523" s="4" t="str">
        <f>dB題庫!E82</f>
        <v>呎。</v>
      </c>
      <c r="G523" s="4" t="str">
        <f>dB題庫!F82</f>
        <v>浬。</v>
      </c>
      <c r="H523" s="4" t="str">
        <f>dB題庫!G82</f>
        <v>C</v>
      </c>
      <c r="I523" s="4" t="str">
        <f>dB題庫!H82</f>
        <v>在標準航空氣象報告(METAR / T A F)中，各雲組後面所接的3位數數字代表雲底高度，其計量基準單位一律為「英呎」(Feet，簡稱呎)，以海平面或機場地面為基準，每 100 呎為一計數單元。</v>
      </c>
    </row>
    <row r="524" spans="1:9" s="3" customFormat="1" x14ac:dyDescent="0.3">
      <c r="A524" s="2" t="s">
        <v>99</v>
      </c>
      <c r="B524" s="1"/>
      <c r="C524" s="7" t="str">
        <f>"(A.)"&amp;D523</f>
        <v>(A.)公尺。</v>
      </c>
      <c r="D524" s="2"/>
      <c r="E524" s="2"/>
      <c r="F524" s="2"/>
      <c r="G524" s="2"/>
      <c r="H524" s="2"/>
      <c r="I524" s="2"/>
    </row>
    <row r="525" spans="1:9" s="3" customFormat="1" x14ac:dyDescent="0.3">
      <c r="A525" s="2"/>
      <c r="B525" s="1"/>
      <c r="C525" s="7" t="str">
        <f>"(B.)"&amp;E523</f>
        <v>(B.)公里.</v>
      </c>
      <c r="D525" s="2"/>
      <c r="E525" s="2"/>
      <c r="F525" s="2"/>
      <c r="G525" s="2"/>
      <c r="H525" s="2"/>
      <c r="I525" s="2"/>
    </row>
    <row r="526" spans="1:9" s="3" customFormat="1" x14ac:dyDescent="0.3">
      <c r="A526" s="2"/>
      <c r="B526" s="2"/>
      <c r="C526" s="7" t="str">
        <f>"(C.)"&amp;F523</f>
        <v>(C.)呎。</v>
      </c>
      <c r="D526" s="2"/>
      <c r="E526" s="2"/>
      <c r="F526" s="2"/>
      <c r="G526" s="2"/>
      <c r="H526" s="2"/>
      <c r="I526" s="2"/>
    </row>
    <row r="527" spans="1:9" s="3" customFormat="1" x14ac:dyDescent="0.3">
      <c r="A527" s="2"/>
      <c r="B527" s="2"/>
      <c r="C527" s="7" t="str">
        <f>"(D.)"&amp;G523</f>
        <v>(D.)浬。</v>
      </c>
      <c r="D527" s="2"/>
      <c r="E527" s="2"/>
      <c r="F527" s="2"/>
      <c r="G527" s="2"/>
      <c r="H527" s="2"/>
      <c r="I527" s="2"/>
    </row>
    <row r="528" spans="1:9" s="3" customFormat="1" x14ac:dyDescent="0.3">
      <c r="A528" s="2"/>
      <c r="B528" s="2"/>
      <c r="C528" s="7" t="str">
        <f>"答案是： "&amp;IF(H523="A",C524,IF(H523="B",C525,IF(H523="C",C526,IF(H523=("D"),C527,"XXXX"))))</f>
        <v>答案是： (C.)呎。</v>
      </c>
      <c r="D528" s="2"/>
      <c r="E528" s="2"/>
      <c r="F528" s="2"/>
      <c r="G528" s="2"/>
      <c r="H528" s="2"/>
      <c r="I528" s="2"/>
    </row>
    <row r="529" spans="1:9" s="3" customFormat="1" ht="75" x14ac:dyDescent="0.3">
      <c r="A529" s="2"/>
      <c r="B529" s="2"/>
      <c r="C529" s="7" t="str">
        <f>"說明："&amp;I523</f>
        <v>說明：在標準航空氣象報告(METAR / T A F)中，各雲組後面所接的3位數數字代表雲底高度，其計量基準單位一律為「英呎」(Feet，簡稱呎)，以海平面或機場地面為基準，每 100 呎為一計數單元。</v>
      </c>
      <c r="D529" s="2"/>
      <c r="E529" s="2"/>
      <c r="F529" s="2"/>
      <c r="G529" s="2"/>
      <c r="H529" s="2"/>
      <c r="I529" s="2"/>
    </row>
    <row r="530" spans="1:9" s="3" customFormat="1" ht="60" x14ac:dyDescent="0.3">
      <c r="A530" s="4" t="str">
        <f>dB題庫!A83</f>
        <v>82</v>
      </c>
      <c r="B530" s="4" t="str">
        <f>dB題庫!B83</f>
        <v>終端機場天氣觀測報中,盛行天氣現象包括下列哪個項目</v>
      </c>
      <c r="C530" s="4" t="str">
        <f t="shared" si="2"/>
        <v>82.終端機場天氣觀測報中,盛行天氣現象包括下列哪個項目</v>
      </c>
      <c r="D530" s="4" t="str">
        <f>dB題庫!C83</f>
        <v>風向風速。</v>
      </c>
      <c r="E530" s="4" t="str">
        <f>dB題庫!D83</f>
        <v>能見度。</v>
      </c>
      <c r="F530" s="4" t="str">
        <f>dB題庫!E83</f>
        <v>天氣狀況及雲組。</v>
      </c>
      <c r="G530" s="4" t="str">
        <f>dB題庫!F83</f>
        <v>以上皆是。</v>
      </c>
      <c r="H530" s="4" t="str">
        <f>dB題庫!G83</f>
        <v>D</v>
      </c>
      <c r="I530" s="4" t="str">
        <f>dB題庫!H83</f>
        <v>一分完整的終端機場天氣觀測報告(METAR)中，為了能全面反映機場當前的盛行氣象條件，所包含的觀測核心項目包括了風向與風速、地面盛行能見度、當前的特殊天氣狀況(如雨、霧)以及雲組(雲量與雲高)，因此選項 (D) 以上皆是正確答案。</v>
      </c>
    </row>
    <row r="531" spans="1:9" s="3" customFormat="1" x14ac:dyDescent="0.3">
      <c r="A531" s="2" t="s">
        <v>99</v>
      </c>
      <c r="B531" s="1"/>
      <c r="C531" s="7" t="str">
        <f>"(A.)"&amp;D530</f>
        <v>(A.)風向風速。</v>
      </c>
      <c r="D531" s="2"/>
      <c r="E531" s="2"/>
      <c r="F531" s="2"/>
      <c r="G531" s="2"/>
      <c r="H531" s="2"/>
      <c r="I531" s="2"/>
    </row>
    <row r="532" spans="1:9" s="3" customFormat="1" x14ac:dyDescent="0.3">
      <c r="A532" s="2"/>
      <c r="B532" s="1"/>
      <c r="C532" s="7" t="str">
        <f>"(B.)"&amp;E530</f>
        <v>(B.)能見度。</v>
      </c>
      <c r="D532" s="2"/>
      <c r="E532" s="2"/>
      <c r="F532" s="2"/>
      <c r="G532" s="2"/>
      <c r="H532" s="2"/>
      <c r="I532" s="2"/>
    </row>
    <row r="533" spans="1:9" s="3" customFormat="1" x14ac:dyDescent="0.3">
      <c r="A533" s="2"/>
      <c r="B533" s="2"/>
      <c r="C533" s="7" t="str">
        <f>"(C.)"&amp;F530</f>
        <v>(C.)天氣狀況及雲組。</v>
      </c>
      <c r="D533" s="2"/>
      <c r="E533" s="2"/>
      <c r="F533" s="2"/>
      <c r="G533" s="2"/>
      <c r="H533" s="2"/>
      <c r="I533" s="2"/>
    </row>
    <row r="534" spans="1:9" s="3" customFormat="1" x14ac:dyDescent="0.3">
      <c r="A534" s="2"/>
      <c r="B534" s="2"/>
      <c r="C534" s="7" t="str">
        <f>"(D.)"&amp;G530</f>
        <v>(D.)以上皆是。</v>
      </c>
      <c r="D534" s="2"/>
      <c r="E534" s="2"/>
      <c r="F534" s="2"/>
      <c r="G534" s="2"/>
      <c r="H534" s="2"/>
      <c r="I534" s="2"/>
    </row>
    <row r="535" spans="1:9" s="3" customFormat="1" x14ac:dyDescent="0.3">
      <c r="A535" s="2"/>
      <c r="B535" s="2"/>
      <c r="C535" s="7" t="str">
        <f>"答案是： "&amp;IF(H530="A",C531,IF(H530="B",C532,IF(H530="C",C533,IF(H530=("D"),C534,"XXXX"))))</f>
        <v>答案是： (D.)以上皆是。</v>
      </c>
      <c r="D535" s="2"/>
      <c r="E535" s="2"/>
      <c r="F535" s="2"/>
      <c r="G535" s="2"/>
      <c r="H535" s="2"/>
      <c r="I535" s="2"/>
    </row>
    <row r="536" spans="1:9" s="3" customFormat="1" ht="90" x14ac:dyDescent="0.3">
      <c r="A536" s="2"/>
      <c r="B536" s="2"/>
      <c r="C536" s="7" t="str">
        <f>"說明："&amp;I530</f>
        <v>說明：一分完整的終端機場天氣觀測報告(METAR)中，為了能全面反映機場當前的盛行氣象條件，所包含的觀測核心項目包括了風向與風速、地面盛行能見度、當前的特殊天氣狀況(如雨、霧)以及雲組(雲量與雲高)，因此選項 (D) 以上皆是正確答案。</v>
      </c>
      <c r="D536" s="2"/>
      <c r="E536" s="2"/>
      <c r="F536" s="2"/>
      <c r="G536" s="2"/>
      <c r="H536" s="2"/>
      <c r="I536" s="2"/>
    </row>
    <row r="537" spans="1:9" s="3" customFormat="1" x14ac:dyDescent="0.3">
      <c r="A537" s="3" t="s">
        <v>106</v>
      </c>
      <c r="C537" s="3" t="s">
        <v>105</v>
      </c>
    </row>
  </sheetData>
  <phoneticPr fontId="1" type="noConversion"/>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8"/>
  <sheetViews>
    <sheetView workbookViewId="0">
      <selection activeCell="B9" sqref="B9"/>
    </sheetView>
  </sheetViews>
  <sheetFormatPr defaultRowHeight="15" x14ac:dyDescent="0.3"/>
  <sheetData>
    <row r="2" spans="2:2" x14ac:dyDescent="0.3">
      <c r="B2" t="s">
        <v>92</v>
      </c>
    </row>
    <row r="3" spans="2:2" x14ac:dyDescent="0.3">
      <c r="B3" t="s">
        <v>93</v>
      </c>
    </row>
    <row r="4" spans="2:2" x14ac:dyDescent="0.3">
      <c r="B4" t="s">
        <v>94</v>
      </c>
    </row>
    <row r="5" spans="2:2" x14ac:dyDescent="0.3">
      <c r="B5" t="s">
        <v>95</v>
      </c>
    </row>
    <row r="6" spans="2:2" x14ac:dyDescent="0.3">
      <c r="B6" t="s">
        <v>96</v>
      </c>
    </row>
    <row r="7" spans="2:2" x14ac:dyDescent="0.3">
      <c r="B7" t="s">
        <v>97</v>
      </c>
    </row>
    <row r="8" spans="2:2" x14ac:dyDescent="0.3">
      <c r="B8" t="s">
        <v>98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dB題庫</vt:lpstr>
      <vt:lpstr>【讀給你聽】</vt:lpstr>
      <vt:lpstr>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2026-07-10T10:14:54Z</dcterms:created>
  <dcterms:modified xsi:type="dcterms:W3CDTF">2026-07-30T01:15:19Z</dcterms:modified>
</cp:coreProperties>
</file>