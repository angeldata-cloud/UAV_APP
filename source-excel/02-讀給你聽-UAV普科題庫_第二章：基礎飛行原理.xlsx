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02"/>
  <workbookPr/>
  <mc:AlternateContent xmlns:mc="http://schemas.openxmlformats.org/markup-compatibility/2006">
    <mc:Choice Requires="x15">
      <x15ac:absPath xmlns:x15ac="http://schemas.microsoft.com/office/spreadsheetml/2010/11/ac" url="/Users/lu/Desktop/UAV_APP/source-excel/"/>
    </mc:Choice>
  </mc:AlternateContent>
  <xr:revisionPtr revIDLastSave="0" documentId="13_ncr:1_{4B1C9799-A829-D049-84D4-76A2EC8A0766}" xr6:coauthVersionLast="47" xr6:coauthVersionMax="47" xr10:uidLastSave="{00000000-0000-0000-0000-000000000000}"/>
  <bookViews>
    <workbookView xWindow="0" yWindow="600" windowWidth="28800" windowHeight="17400" xr2:uid="{00000000-000D-0000-FFFF-FFFF00000000}"/>
  </bookViews>
  <sheets>
    <sheet name="dB題庫" sheetId="1" r:id="rId1"/>
    <sheet name="【讀給你聽】" sheetId="2" r:id="rId2"/>
    <sheet name="Steps" sheetId="3" r:id="rId3"/>
  </sheets>
  <definedNames>
    <definedName name="_xlnm._FilterDatabase" localSheetId="0" hidden="1">dB題庫!$A$1:$H$92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01" i="2" l="1"/>
  <c r="B901" i="2"/>
  <c r="D901" i="2"/>
  <c r="C902" i="2" s="1"/>
  <c r="E901" i="2"/>
  <c r="C903" i="2" s="1"/>
  <c r="F901" i="2"/>
  <c r="C904" i="2" s="1"/>
  <c r="G901" i="2"/>
  <c r="C905" i="2" s="1"/>
  <c r="H901" i="2"/>
  <c r="C906" i="2" s="1"/>
  <c r="I901" i="2"/>
  <c r="C907" i="2" s="1"/>
  <c r="A908" i="2"/>
  <c r="B908" i="2"/>
  <c r="D908" i="2"/>
  <c r="C909" i="2" s="1"/>
  <c r="E908" i="2"/>
  <c r="C910" i="2" s="1"/>
  <c r="F908" i="2"/>
  <c r="C911" i="2" s="1"/>
  <c r="G908" i="2"/>
  <c r="C912" i="2" s="1"/>
  <c r="H908" i="2"/>
  <c r="C913" i="2" s="1"/>
  <c r="I908" i="2"/>
  <c r="C914" i="2" s="1"/>
  <c r="A915" i="2"/>
  <c r="B915" i="2"/>
  <c r="D915" i="2"/>
  <c r="C916" i="2" s="1"/>
  <c r="E915" i="2"/>
  <c r="C917" i="2" s="1"/>
  <c r="F915" i="2"/>
  <c r="C918" i="2" s="1"/>
  <c r="G915" i="2"/>
  <c r="C919" i="2" s="1"/>
  <c r="H915" i="2"/>
  <c r="C920" i="2" s="1"/>
  <c r="I915" i="2"/>
  <c r="C921" i="2" s="1"/>
  <c r="A922" i="2"/>
  <c r="B922" i="2"/>
  <c r="D922" i="2"/>
  <c r="C923" i="2" s="1"/>
  <c r="E922" i="2"/>
  <c r="C924" i="2" s="1"/>
  <c r="F922" i="2"/>
  <c r="C925" i="2" s="1"/>
  <c r="G922" i="2"/>
  <c r="C926" i="2" s="1"/>
  <c r="H922" i="2"/>
  <c r="C927" i="2" s="1"/>
  <c r="I922" i="2"/>
  <c r="C928" i="2" s="1"/>
  <c r="A929" i="2"/>
  <c r="B929" i="2"/>
  <c r="D929" i="2"/>
  <c r="C930" i="2" s="1"/>
  <c r="E929" i="2"/>
  <c r="C931" i="2" s="1"/>
  <c r="F929" i="2"/>
  <c r="C932" i="2" s="1"/>
  <c r="G929" i="2"/>
  <c r="C933" i="2" s="1"/>
  <c r="H929" i="2"/>
  <c r="C934" i="2" s="1"/>
  <c r="I929" i="2"/>
  <c r="C935" i="2" s="1"/>
  <c r="A936" i="2"/>
  <c r="B936" i="2"/>
  <c r="D936" i="2"/>
  <c r="C937" i="2" s="1"/>
  <c r="E936" i="2"/>
  <c r="C938" i="2" s="1"/>
  <c r="F936" i="2"/>
  <c r="C939" i="2" s="1"/>
  <c r="G936" i="2"/>
  <c r="C940" i="2" s="1"/>
  <c r="H936" i="2"/>
  <c r="C941" i="2" s="1"/>
  <c r="I936" i="2"/>
  <c r="C942" i="2" s="1"/>
  <c r="A943" i="2"/>
  <c r="B943" i="2"/>
  <c r="D943" i="2"/>
  <c r="C944" i="2" s="1"/>
  <c r="E943" i="2"/>
  <c r="C945" i="2" s="1"/>
  <c r="F943" i="2"/>
  <c r="C946" i="2" s="1"/>
  <c r="G943" i="2"/>
  <c r="C947" i="2" s="1"/>
  <c r="H943" i="2"/>
  <c r="C948" i="2" s="1"/>
  <c r="I943" i="2"/>
  <c r="C949" i="2" s="1"/>
  <c r="A950" i="2"/>
  <c r="B950" i="2"/>
  <c r="D950" i="2"/>
  <c r="C951" i="2" s="1"/>
  <c r="E950" i="2"/>
  <c r="C952" i="2" s="1"/>
  <c r="F950" i="2"/>
  <c r="C953" i="2" s="1"/>
  <c r="G950" i="2"/>
  <c r="C954" i="2" s="1"/>
  <c r="H950" i="2"/>
  <c r="C955" i="2" s="1"/>
  <c r="I950" i="2"/>
  <c r="C956" i="2" s="1"/>
  <c r="A957" i="2"/>
  <c r="B957" i="2"/>
  <c r="D957" i="2"/>
  <c r="C958" i="2" s="1"/>
  <c r="E957" i="2"/>
  <c r="C959" i="2" s="1"/>
  <c r="F957" i="2"/>
  <c r="C960" i="2" s="1"/>
  <c r="G957" i="2"/>
  <c r="C961" i="2" s="1"/>
  <c r="H957" i="2"/>
  <c r="C962" i="2" s="1"/>
  <c r="I957" i="2"/>
  <c r="C963" i="2" s="1"/>
  <c r="A964" i="2"/>
  <c r="B964" i="2"/>
  <c r="D964" i="2"/>
  <c r="C965" i="2" s="1"/>
  <c r="E964" i="2"/>
  <c r="C966" i="2" s="1"/>
  <c r="F964" i="2"/>
  <c r="C967" i="2" s="1"/>
  <c r="G964" i="2"/>
  <c r="C968" i="2" s="1"/>
  <c r="H964" i="2"/>
  <c r="C969" i="2" s="1"/>
  <c r="I964" i="2"/>
  <c r="C970" i="2" s="1"/>
  <c r="A971" i="2"/>
  <c r="B971" i="2"/>
  <c r="D971" i="2"/>
  <c r="C972" i="2" s="1"/>
  <c r="E971" i="2"/>
  <c r="C973" i="2" s="1"/>
  <c r="F971" i="2"/>
  <c r="C974" i="2" s="1"/>
  <c r="G971" i="2"/>
  <c r="C975" i="2" s="1"/>
  <c r="H971" i="2"/>
  <c r="C976" i="2" s="1"/>
  <c r="I971" i="2"/>
  <c r="C977" i="2" s="1"/>
  <c r="A978" i="2"/>
  <c r="B978" i="2"/>
  <c r="D978" i="2"/>
  <c r="C979" i="2" s="1"/>
  <c r="E978" i="2"/>
  <c r="C980" i="2" s="1"/>
  <c r="F978" i="2"/>
  <c r="C981" i="2" s="1"/>
  <c r="G978" i="2"/>
  <c r="C982" i="2" s="1"/>
  <c r="H978" i="2"/>
  <c r="C983" i="2" s="1"/>
  <c r="I978" i="2"/>
  <c r="C984" i="2" s="1"/>
  <c r="A985" i="2"/>
  <c r="B985" i="2"/>
  <c r="D985" i="2"/>
  <c r="C986" i="2" s="1"/>
  <c r="E985" i="2"/>
  <c r="C987" i="2" s="1"/>
  <c r="F985" i="2"/>
  <c r="C988" i="2" s="1"/>
  <c r="G985" i="2"/>
  <c r="C989" i="2" s="1"/>
  <c r="H985" i="2"/>
  <c r="C990" i="2" s="1"/>
  <c r="I985" i="2"/>
  <c r="C991" i="2" s="1"/>
  <c r="A992" i="2"/>
  <c r="B992" i="2"/>
  <c r="D992" i="2"/>
  <c r="C993" i="2" s="1"/>
  <c r="E992" i="2"/>
  <c r="C994" i="2" s="1"/>
  <c r="F992" i="2"/>
  <c r="C995" i="2" s="1"/>
  <c r="G992" i="2"/>
  <c r="C996" i="2" s="1"/>
  <c r="H992" i="2"/>
  <c r="C997" i="2" s="1"/>
  <c r="I992" i="2"/>
  <c r="C998" i="2" s="1"/>
  <c r="A999" i="2"/>
  <c r="B999" i="2"/>
  <c r="D999" i="2"/>
  <c r="C1000" i="2" s="1"/>
  <c r="E999" i="2"/>
  <c r="C1001" i="2" s="1"/>
  <c r="F999" i="2"/>
  <c r="C1002" i="2" s="1"/>
  <c r="G999" i="2"/>
  <c r="C1003" i="2" s="1"/>
  <c r="H999" i="2"/>
  <c r="C1004" i="2" s="1"/>
  <c r="I999" i="2"/>
  <c r="C1005" i="2" s="1"/>
  <c r="A1006" i="2"/>
  <c r="B1006" i="2"/>
  <c r="D1006" i="2"/>
  <c r="C1007" i="2" s="1"/>
  <c r="E1006" i="2"/>
  <c r="C1008" i="2" s="1"/>
  <c r="F1006" i="2"/>
  <c r="C1009" i="2" s="1"/>
  <c r="G1006" i="2"/>
  <c r="C1010" i="2" s="1"/>
  <c r="H1006" i="2"/>
  <c r="C1011" i="2" s="1"/>
  <c r="I1006" i="2"/>
  <c r="C1012" i="2" s="1"/>
  <c r="A1013" i="2"/>
  <c r="B1013" i="2"/>
  <c r="D1013" i="2"/>
  <c r="C1014" i="2" s="1"/>
  <c r="E1013" i="2"/>
  <c r="C1015" i="2" s="1"/>
  <c r="F1013" i="2"/>
  <c r="C1016" i="2" s="1"/>
  <c r="G1013" i="2"/>
  <c r="C1017" i="2" s="1"/>
  <c r="H1013" i="2"/>
  <c r="C1018" i="2" s="1"/>
  <c r="I1013" i="2"/>
  <c r="C1019" i="2" s="1"/>
  <c r="A1020" i="2"/>
  <c r="B1020" i="2"/>
  <c r="D1020" i="2"/>
  <c r="C1021" i="2" s="1"/>
  <c r="E1020" i="2"/>
  <c r="C1022" i="2" s="1"/>
  <c r="F1020" i="2"/>
  <c r="C1023" i="2" s="1"/>
  <c r="G1020" i="2"/>
  <c r="C1024" i="2" s="1"/>
  <c r="H1020" i="2"/>
  <c r="C1025" i="2" s="1"/>
  <c r="I1020" i="2"/>
  <c r="C1026" i="2" s="1"/>
  <c r="A1027" i="2"/>
  <c r="B1027" i="2"/>
  <c r="D1027" i="2"/>
  <c r="C1028" i="2" s="1"/>
  <c r="E1027" i="2"/>
  <c r="C1029" i="2" s="1"/>
  <c r="F1027" i="2"/>
  <c r="C1030" i="2" s="1"/>
  <c r="G1027" i="2"/>
  <c r="C1031" i="2" s="1"/>
  <c r="H1027" i="2"/>
  <c r="C1032" i="2" s="1"/>
  <c r="I1027" i="2"/>
  <c r="C1033" i="2" s="1"/>
  <c r="A1034" i="2"/>
  <c r="B1034" i="2"/>
  <c r="D1034" i="2"/>
  <c r="C1035" i="2" s="1"/>
  <c r="E1034" i="2"/>
  <c r="C1036" i="2" s="1"/>
  <c r="F1034" i="2"/>
  <c r="C1037" i="2" s="1"/>
  <c r="G1034" i="2"/>
  <c r="C1038" i="2" s="1"/>
  <c r="H1034" i="2"/>
  <c r="C1039" i="2" s="1"/>
  <c r="I1034" i="2"/>
  <c r="C1040" i="2" s="1"/>
  <c r="A1041" i="2"/>
  <c r="B1041" i="2"/>
  <c r="D1041" i="2"/>
  <c r="C1042" i="2" s="1"/>
  <c r="E1041" i="2"/>
  <c r="C1043" i="2" s="1"/>
  <c r="F1041" i="2"/>
  <c r="C1044" i="2" s="1"/>
  <c r="G1041" i="2"/>
  <c r="C1045" i="2" s="1"/>
  <c r="H1041" i="2"/>
  <c r="C1046" i="2" s="1"/>
  <c r="I1041" i="2"/>
  <c r="C1047" i="2" s="1"/>
  <c r="A1048" i="2"/>
  <c r="B1048" i="2"/>
  <c r="D1048" i="2"/>
  <c r="C1049" i="2" s="1"/>
  <c r="E1048" i="2"/>
  <c r="C1050" i="2" s="1"/>
  <c r="F1048" i="2"/>
  <c r="C1051" i="2" s="1"/>
  <c r="G1048" i="2"/>
  <c r="C1052" i="2" s="1"/>
  <c r="H1048" i="2"/>
  <c r="C1053" i="2" s="1"/>
  <c r="I1048" i="2"/>
  <c r="C1054" i="2" s="1"/>
  <c r="A1055" i="2"/>
  <c r="B1055" i="2"/>
  <c r="D1055" i="2"/>
  <c r="C1056" i="2" s="1"/>
  <c r="E1055" i="2"/>
  <c r="C1057" i="2" s="1"/>
  <c r="F1055" i="2"/>
  <c r="C1058" i="2" s="1"/>
  <c r="G1055" i="2"/>
  <c r="C1059" i="2" s="1"/>
  <c r="H1055" i="2"/>
  <c r="C1060" i="2" s="1"/>
  <c r="I1055" i="2"/>
  <c r="C1061" i="2" s="1"/>
  <c r="A1062" i="2"/>
  <c r="B1062" i="2"/>
  <c r="D1062" i="2"/>
  <c r="C1063" i="2" s="1"/>
  <c r="E1062" i="2"/>
  <c r="C1064" i="2" s="1"/>
  <c r="F1062" i="2"/>
  <c r="C1065" i="2" s="1"/>
  <c r="G1062" i="2"/>
  <c r="C1066" i="2" s="1"/>
  <c r="H1062" i="2"/>
  <c r="C1067" i="2" s="1"/>
  <c r="I1062" i="2"/>
  <c r="C1068" i="2" s="1"/>
  <c r="A1069" i="2"/>
  <c r="B1069" i="2"/>
  <c r="D1069" i="2"/>
  <c r="C1070" i="2" s="1"/>
  <c r="E1069" i="2"/>
  <c r="C1071" i="2" s="1"/>
  <c r="F1069" i="2"/>
  <c r="C1072" i="2" s="1"/>
  <c r="G1069" i="2"/>
  <c r="C1073" i="2" s="1"/>
  <c r="H1069" i="2"/>
  <c r="C1074" i="2" s="1"/>
  <c r="I1069" i="2"/>
  <c r="C1075" i="2" s="1"/>
  <c r="A1076" i="2"/>
  <c r="B1076" i="2"/>
  <c r="D1076" i="2"/>
  <c r="C1077" i="2" s="1"/>
  <c r="E1076" i="2"/>
  <c r="C1078" i="2" s="1"/>
  <c r="F1076" i="2"/>
  <c r="C1079" i="2" s="1"/>
  <c r="G1076" i="2"/>
  <c r="C1080" i="2" s="1"/>
  <c r="H1076" i="2"/>
  <c r="C1081" i="2" s="1"/>
  <c r="I1076" i="2"/>
  <c r="C1082" i="2" s="1"/>
  <c r="A1083" i="2"/>
  <c r="B1083" i="2"/>
  <c r="D1083" i="2"/>
  <c r="C1084" i="2" s="1"/>
  <c r="E1083" i="2"/>
  <c r="C1085" i="2" s="1"/>
  <c r="F1083" i="2"/>
  <c r="C1086" i="2" s="1"/>
  <c r="G1083" i="2"/>
  <c r="C1087" i="2" s="1"/>
  <c r="H1083" i="2"/>
  <c r="C1088" i="2" s="1"/>
  <c r="I1083" i="2"/>
  <c r="C1089" i="2" s="1"/>
  <c r="A1090" i="2"/>
  <c r="B1090" i="2"/>
  <c r="D1090" i="2"/>
  <c r="C1091" i="2" s="1"/>
  <c r="E1090" i="2"/>
  <c r="C1092" i="2" s="1"/>
  <c r="F1090" i="2"/>
  <c r="C1093" i="2" s="1"/>
  <c r="G1090" i="2"/>
  <c r="C1094" i="2" s="1"/>
  <c r="H1090" i="2"/>
  <c r="C1095" i="2" s="1"/>
  <c r="I1090" i="2"/>
  <c r="C1096" i="2" s="1"/>
  <c r="A1097" i="2"/>
  <c r="B1097" i="2"/>
  <c r="D1097" i="2"/>
  <c r="C1098" i="2" s="1"/>
  <c r="E1097" i="2"/>
  <c r="C1099" i="2" s="1"/>
  <c r="F1097" i="2"/>
  <c r="C1100" i="2" s="1"/>
  <c r="G1097" i="2"/>
  <c r="C1101" i="2" s="1"/>
  <c r="H1097" i="2"/>
  <c r="C1102" i="2" s="1"/>
  <c r="I1097" i="2"/>
  <c r="C1103" i="2" s="1"/>
  <c r="A1104" i="2"/>
  <c r="B1104" i="2"/>
  <c r="D1104" i="2"/>
  <c r="C1105" i="2" s="1"/>
  <c r="E1104" i="2"/>
  <c r="C1106" i="2" s="1"/>
  <c r="F1104" i="2"/>
  <c r="C1107" i="2" s="1"/>
  <c r="G1104" i="2"/>
  <c r="C1108" i="2" s="1"/>
  <c r="H1104" i="2"/>
  <c r="C1109" i="2" s="1"/>
  <c r="I1104" i="2"/>
  <c r="C1110" i="2" s="1"/>
  <c r="A1111" i="2"/>
  <c r="B1111" i="2"/>
  <c r="D1111" i="2"/>
  <c r="C1112" i="2" s="1"/>
  <c r="E1111" i="2"/>
  <c r="C1113" i="2" s="1"/>
  <c r="F1111" i="2"/>
  <c r="C1114" i="2" s="1"/>
  <c r="G1111" i="2"/>
  <c r="C1115" i="2" s="1"/>
  <c r="H1111" i="2"/>
  <c r="C1116" i="2" s="1"/>
  <c r="I1111" i="2"/>
  <c r="C1117" i="2" s="1"/>
  <c r="A1118" i="2"/>
  <c r="B1118" i="2"/>
  <c r="D1118" i="2"/>
  <c r="C1119" i="2" s="1"/>
  <c r="E1118" i="2"/>
  <c r="C1120" i="2" s="1"/>
  <c r="F1118" i="2"/>
  <c r="C1121" i="2" s="1"/>
  <c r="G1118" i="2"/>
  <c r="C1122" i="2" s="1"/>
  <c r="H1118" i="2"/>
  <c r="C1123" i="2" s="1"/>
  <c r="I1118" i="2"/>
  <c r="C1124" i="2" s="1"/>
  <c r="A684" i="2"/>
  <c r="B684" i="2"/>
  <c r="D684" i="2"/>
  <c r="C685" i="2" s="1"/>
  <c r="E684" i="2"/>
  <c r="C686" i="2" s="1"/>
  <c r="F684" i="2"/>
  <c r="C687" i="2" s="1"/>
  <c r="G684" i="2"/>
  <c r="C688" i="2" s="1"/>
  <c r="H684" i="2"/>
  <c r="C689" i="2" s="1"/>
  <c r="I684" i="2"/>
  <c r="C690" i="2" s="1"/>
  <c r="A691" i="2"/>
  <c r="B691" i="2"/>
  <c r="D691" i="2"/>
  <c r="C692" i="2" s="1"/>
  <c r="E691" i="2"/>
  <c r="C693" i="2" s="1"/>
  <c r="F691" i="2"/>
  <c r="C694" i="2" s="1"/>
  <c r="G691" i="2"/>
  <c r="C695" i="2" s="1"/>
  <c r="H691" i="2"/>
  <c r="C696" i="2" s="1"/>
  <c r="I691" i="2"/>
  <c r="C697" i="2" s="1"/>
  <c r="A698" i="2"/>
  <c r="B698" i="2"/>
  <c r="D698" i="2"/>
  <c r="C699" i="2" s="1"/>
  <c r="E698" i="2"/>
  <c r="C700" i="2" s="1"/>
  <c r="F698" i="2"/>
  <c r="C701" i="2" s="1"/>
  <c r="G698" i="2"/>
  <c r="C702" i="2" s="1"/>
  <c r="H698" i="2"/>
  <c r="C703" i="2" s="1"/>
  <c r="I698" i="2"/>
  <c r="C704" i="2" s="1"/>
  <c r="A705" i="2"/>
  <c r="B705" i="2"/>
  <c r="D705" i="2"/>
  <c r="C706" i="2" s="1"/>
  <c r="E705" i="2"/>
  <c r="C707" i="2" s="1"/>
  <c r="F705" i="2"/>
  <c r="C708" i="2" s="1"/>
  <c r="G705" i="2"/>
  <c r="C709" i="2" s="1"/>
  <c r="H705" i="2"/>
  <c r="C710" i="2" s="1"/>
  <c r="I705" i="2"/>
  <c r="C711" i="2" s="1"/>
  <c r="A712" i="2"/>
  <c r="B712" i="2"/>
  <c r="D712" i="2"/>
  <c r="C713" i="2" s="1"/>
  <c r="E712" i="2"/>
  <c r="C714" i="2" s="1"/>
  <c r="F712" i="2"/>
  <c r="C715" i="2" s="1"/>
  <c r="G712" i="2"/>
  <c r="C716" i="2" s="1"/>
  <c r="H712" i="2"/>
  <c r="C717" i="2" s="1"/>
  <c r="I712" i="2"/>
  <c r="C718" i="2" s="1"/>
  <c r="A719" i="2"/>
  <c r="B719" i="2"/>
  <c r="D719" i="2"/>
  <c r="C720" i="2" s="1"/>
  <c r="E719" i="2"/>
  <c r="C721" i="2" s="1"/>
  <c r="F719" i="2"/>
  <c r="C722" i="2" s="1"/>
  <c r="G719" i="2"/>
  <c r="C723" i="2" s="1"/>
  <c r="H719" i="2"/>
  <c r="C724" i="2" s="1"/>
  <c r="I719" i="2"/>
  <c r="C725" i="2" s="1"/>
  <c r="A726" i="2"/>
  <c r="B726" i="2"/>
  <c r="D726" i="2"/>
  <c r="C727" i="2" s="1"/>
  <c r="E726" i="2"/>
  <c r="C728" i="2" s="1"/>
  <c r="F726" i="2"/>
  <c r="C729" i="2" s="1"/>
  <c r="G726" i="2"/>
  <c r="C730" i="2" s="1"/>
  <c r="H726" i="2"/>
  <c r="C731" i="2" s="1"/>
  <c r="I726" i="2"/>
  <c r="C732" i="2" s="1"/>
  <c r="A733" i="2"/>
  <c r="B733" i="2"/>
  <c r="D733" i="2"/>
  <c r="C734" i="2" s="1"/>
  <c r="E733" i="2"/>
  <c r="C735" i="2" s="1"/>
  <c r="F733" i="2"/>
  <c r="C736" i="2" s="1"/>
  <c r="G733" i="2"/>
  <c r="C737" i="2" s="1"/>
  <c r="H733" i="2"/>
  <c r="C738" i="2" s="1"/>
  <c r="I733" i="2"/>
  <c r="C739" i="2" s="1"/>
  <c r="A740" i="2"/>
  <c r="B740" i="2"/>
  <c r="D740" i="2"/>
  <c r="C741" i="2" s="1"/>
  <c r="E740" i="2"/>
  <c r="C742" i="2" s="1"/>
  <c r="F740" i="2"/>
  <c r="C743" i="2" s="1"/>
  <c r="G740" i="2"/>
  <c r="C744" i="2" s="1"/>
  <c r="H740" i="2"/>
  <c r="C745" i="2" s="1"/>
  <c r="I740" i="2"/>
  <c r="C746" i="2" s="1"/>
  <c r="A747" i="2"/>
  <c r="B747" i="2"/>
  <c r="D747" i="2"/>
  <c r="C748" i="2" s="1"/>
  <c r="E747" i="2"/>
  <c r="C749" i="2" s="1"/>
  <c r="F747" i="2"/>
  <c r="C750" i="2" s="1"/>
  <c r="G747" i="2"/>
  <c r="C751" i="2" s="1"/>
  <c r="H747" i="2"/>
  <c r="C752" i="2" s="1"/>
  <c r="I747" i="2"/>
  <c r="C753" i="2" s="1"/>
  <c r="A754" i="2"/>
  <c r="B754" i="2"/>
  <c r="D754" i="2"/>
  <c r="C755" i="2" s="1"/>
  <c r="E754" i="2"/>
  <c r="C756" i="2" s="1"/>
  <c r="F754" i="2"/>
  <c r="C757" i="2" s="1"/>
  <c r="G754" i="2"/>
  <c r="C758" i="2" s="1"/>
  <c r="H754" i="2"/>
  <c r="C759" i="2" s="1"/>
  <c r="I754" i="2"/>
  <c r="C760" i="2" s="1"/>
  <c r="A761" i="2"/>
  <c r="B761" i="2"/>
  <c r="D761" i="2"/>
  <c r="C762" i="2" s="1"/>
  <c r="E761" i="2"/>
  <c r="C763" i="2" s="1"/>
  <c r="F761" i="2"/>
  <c r="C764" i="2" s="1"/>
  <c r="G761" i="2"/>
  <c r="C765" i="2" s="1"/>
  <c r="H761" i="2"/>
  <c r="C766" i="2" s="1"/>
  <c r="I761" i="2"/>
  <c r="C767" i="2" s="1"/>
  <c r="A768" i="2"/>
  <c r="B768" i="2"/>
  <c r="D768" i="2"/>
  <c r="C769" i="2" s="1"/>
  <c r="E768" i="2"/>
  <c r="C770" i="2" s="1"/>
  <c r="F768" i="2"/>
  <c r="C771" i="2" s="1"/>
  <c r="G768" i="2"/>
  <c r="C772" i="2" s="1"/>
  <c r="H768" i="2"/>
  <c r="C773" i="2" s="1"/>
  <c r="I768" i="2"/>
  <c r="C774" i="2" s="1"/>
  <c r="A775" i="2"/>
  <c r="B775" i="2"/>
  <c r="D775" i="2"/>
  <c r="C776" i="2" s="1"/>
  <c r="E775" i="2"/>
  <c r="C777" i="2" s="1"/>
  <c r="F775" i="2"/>
  <c r="C778" i="2" s="1"/>
  <c r="G775" i="2"/>
  <c r="C779" i="2" s="1"/>
  <c r="H775" i="2"/>
  <c r="C780" i="2" s="1"/>
  <c r="I775" i="2"/>
  <c r="C781" i="2" s="1"/>
  <c r="A782" i="2"/>
  <c r="B782" i="2"/>
  <c r="D782" i="2"/>
  <c r="C783" i="2" s="1"/>
  <c r="E782" i="2"/>
  <c r="C784" i="2" s="1"/>
  <c r="F782" i="2"/>
  <c r="C785" i="2" s="1"/>
  <c r="G782" i="2"/>
  <c r="C786" i="2" s="1"/>
  <c r="H782" i="2"/>
  <c r="C787" i="2" s="1"/>
  <c r="I782" i="2"/>
  <c r="C788" i="2" s="1"/>
  <c r="A789" i="2"/>
  <c r="B789" i="2"/>
  <c r="D789" i="2"/>
  <c r="C790" i="2" s="1"/>
  <c r="E789" i="2"/>
  <c r="C791" i="2" s="1"/>
  <c r="F789" i="2"/>
  <c r="C792" i="2" s="1"/>
  <c r="G789" i="2"/>
  <c r="C793" i="2" s="1"/>
  <c r="H789" i="2"/>
  <c r="C794" i="2" s="1"/>
  <c r="I789" i="2"/>
  <c r="C795" i="2" s="1"/>
  <c r="A796" i="2"/>
  <c r="B796" i="2"/>
  <c r="D796" i="2"/>
  <c r="C797" i="2" s="1"/>
  <c r="E796" i="2"/>
  <c r="C798" i="2" s="1"/>
  <c r="F796" i="2"/>
  <c r="C799" i="2" s="1"/>
  <c r="G796" i="2"/>
  <c r="C800" i="2" s="1"/>
  <c r="H796" i="2"/>
  <c r="C801" i="2" s="1"/>
  <c r="I796" i="2"/>
  <c r="C802" i="2" s="1"/>
  <c r="A803" i="2"/>
  <c r="B803" i="2"/>
  <c r="D803" i="2"/>
  <c r="C804" i="2" s="1"/>
  <c r="E803" i="2"/>
  <c r="C805" i="2" s="1"/>
  <c r="F803" i="2"/>
  <c r="C806" i="2" s="1"/>
  <c r="G803" i="2"/>
  <c r="C807" i="2" s="1"/>
  <c r="H803" i="2"/>
  <c r="C808" i="2" s="1"/>
  <c r="I803" i="2"/>
  <c r="C809" i="2" s="1"/>
  <c r="A810" i="2"/>
  <c r="B810" i="2"/>
  <c r="D810" i="2"/>
  <c r="C811" i="2" s="1"/>
  <c r="E810" i="2"/>
  <c r="C812" i="2" s="1"/>
  <c r="F810" i="2"/>
  <c r="C813" i="2" s="1"/>
  <c r="G810" i="2"/>
  <c r="C814" i="2" s="1"/>
  <c r="H810" i="2"/>
  <c r="C815" i="2" s="1"/>
  <c r="I810" i="2"/>
  <c r="C816" i="2" s="1"/>
  <c r="A817" i="2"/>
  <c r="B817" i="2"/>
  <c r="D817" i="2"/>
  <c r="C818" i="2" s="1"/>
  <c r="E817" i="2"/>
  <c r="C819" i="2" s="1"/>
  <c r="F817" i="2"/>
  <c r="C820" i="2" s="1"/>
  <c r="G817" i="2"/>
  <c r="C821" i="2" s="1"/>
  <c r="H817" i="2"/>
  <c r="C822" i="2" s="1"/>
  <c r="I817" i="2"/>
  <c r="C823" i="2" s="1"/>
  <c r="A824" i="2"/>
  <c r="B824" i="2"/>
  <c r="D824" i="2"/>
  <c r="C825" i="2" s="1"/>
  <c r="E824" i="2"/>
  <c r="C826" i="2" s="1"/>
  <c r="F824" i="2"/>
  <c r="C827" i="2" s="1"/>
  <c r="G824" i="2"/>
  <c r="C828" i="2" s="1"/>
  <c r="H824" i="2"/>
  <c r="C829" i="2" s="1"/>
  <c r="I824" i="2"/>
  <c r="C830" i="2" s="1"/>
  <c r="A831" i="2"/>
  <c r="B831" i="2"/>
  <c r="D831" i="2"/>
  <c r="C832" i="2" s="1"/>
  <c r="E831" i="2"/>
  <c r="C833" i="2" s="1"/>
  <c r="F831" i="2"/>
  <c r="C834" i="2" s="1"/>
  <c r="G831" i="2"/>
  <c r="C835" i="2" s="1"/>
  <c r="H831" i="2"/>
  <c r="C836" i="2" s="1"/>
  <c r="I831" i="2"/>
  <c r="C837" i="2" s="1"/>
  <c r="A838" i="2"/>
  <c r="B838" i="2"/>
  <c r="D838" i="2"/>
  <c r="C839" i="2" s="1"/>
  <c r="E838" i="2"/>
  <c r="C840" i="2" s="1"/>
  <c r="F838" i="2"/>
  <c r="C841" i="2" s="1"/>
  <c r="G838" i="2"/>
  <c r="C842" i="2" s="1"/>
  <c r="H838" i="2"/>
  <c r="C843" i="2" s="1"/>
  <c r="I838" i="2"/>
  <c r="C844" i="2" s="1"/>
  <c r="A845" i="2"/>
  <c r="B845" i="2"/>
  <c r="D845" i="2"/>
  <c r="C846" i="2" s="1"/>
  <c r="E845" i="2"/>
  <c r="C847" i="2" s="1"/>
  <c r="F845" i="2"/>
  <c r="C848" i="2" s="1"/>
  <c r="G845" i="2"/>
  <c r="C849" i="2" s="1"/>
  <c r="H845" i="2"/>
  <c r="C850" i="2" s="1"/>
  <c r="I845" i="2"/>
  <c r="C851" i="2" s="1"/>
  <c r="A852" i="2"/>
  <c r="B852" i="2"/>
  <c r="D852" i="2"/>
  <c r="C853" i="2" s="1"/>
  <c r="E852" i="2"/>
  <c r="C854" i="2" s="1"/>
  <c r="F852" i="2"/>
  <c r="C855" i="2" s="1"/>
  <c r="G852" i="2"/>
  <c r="C856" i="2" s="1"/>
  <c r="H852" i="2"/>
  <c r="C857" i="2" s="1"/>
  <c r="I852" i="2"/>
  <c r="C858" i="2" s="1"/>
  <c r="A859" i="2"/>
  <c r="B859" i="2"/>
  <c r="D859" i="2"/>
  <c r="C860" i="2" s="1"/>
  <c r="E859" i="2"/>
  <c r="C861" i="2" s="1"/>
  <c r="F859" i="2"/>
  <c r="C862" i="2" s="1"/>
  <c r="G859" i="2"/>
  <c r="C863" i="2" s="1"/>
  <c r="H859" i="2"/>
  <c r="C864" i="2" s="1"/>
  <c r="I859" i="2"/>
  <c r="C865" i="2" s="1"/>
  <c r="A866" i="2"/>
  <c r="B866" i="2"/>
  <c r="D866" i="2"/>
  <c r="C867" i="2" s="1"/>
  <c r="E866" i="2"/>
  <c r="C868" i="2" s="1"/>
  <c r="F866" i="2"/>
  <c r="C869" i="2" s="1"/>
  <c r="G866" i="2"/>
  <c r="C870" i="2" s="1"/>
  <c r="H866" i="2"/>
  <c r="C871" i="2" s="1"/>
  <c r="I866" i="2"/>
  <c r="C872" i="2" s="1"/>
  <c r="A873" i="2"/>
  <c r="B873" i="2"/>
  <c r="D873" i="2"/>
  <c r="C874" i="2" s="1"/>
  <c r="E873" i="2"/>
  <c r="C875" i="2" s="1"/>
  <c r="F873" i="2"/>
  <c r="C876" i="2" s="1"/>
  <c r="G873" i="2"/>
  <c r="C877" i="2" s="1"/>
  <c r="H873" i="2"/>
  <c r="C878" i="2" s="1"/>
  <c r="I873" i="2"/>
  <c r="C879" i="2" s="1"/>
  <c r="A880" i="2"/>
  <c r="B880" i="2"/>
  <c r="D880" i="2"/>
  <c r="C881" i="2" s="1"/>
  <c r="E880" i="2"/>
  <c r="C882" i="2" s="1"/>
  <c r="F880" i="2"/>
  <c r="C883" i="2" s="1"/>
  <c r="G880" i="2"/>
  <c r="C884" i="2" s="1"/>
  <c r="H880" i="2"/>
  <c r="C885" i="2" s="1"/>
  <c r="I880" i="2"/>
  <c r="C886" i="2" s="1"/>
  <c r="A887" i="2"/>
  <c r="B887" i="2"/>
  <c r="D887" i="2"/>
  <c r="C888" i="2" s="1"/>
  <c r="E887" i="2"/>
  <c r="C889" i="2" s="1"/>
  <c r="F887" i="2"/>
  <c r="C890" i="2" s="1"/>
  <c r="G887" i="2"/>
  <c r="C891" i="2" s="1"/>
  <c r="H887" i="2"/>
  <c r="C892" i="2" s="1"/>
  <c r="I887" i="2"/>
  <c r="C893" i="2" s="1"/>
  <c r="A894" i="2"/>
  <c r="B894" i="2"/>
  <c r="D894" i="2"/>
  <c r="C895" i="2" s="1"/>
  <c r="E894" i="2"/>
  <c r="C896" i="2" s="1"/>
  <c r="F894" i="2"/>
  <c r="C897" i="2" s="1"/>
  <c r="G894" i="2"/>
  <c r="C898" i="2" s="1"/>
  <c r="H894" i="2"/>
  <c r="C899" i="2" s="1"/>
  <c r="I894" i="2"/>
  <c r="C900" i="2" s="1"/>
  <c r="A600" i="2"/>
  <c r="B600" i="2"/>
  <c r="D600" i="2"/>
  <c r="C601" i="2" s="1"/>
  <c r="E600" i="2"/>
  <c r="C602" i="2" s="1"/>
  <c r="F600" i="2"/>
  <c r="C603" i="2" s="1"/>
  <c r="G600" i="2"/>
  <c r="C604" i="2" s="1"/>
  <c r="H600" i="2"/>
  <c r="C605" i="2" s="1"/>
  <c r="I600" i="2"/>
  <c r="C606" i="2" s="1"/>
  <c r="A607" i="2"/>
  <c r="B607" i="2"/>
  <c r="D607" i="2"/>
  <c r="C608" i="2" s="1"/>
  <c r="E607" i="2"/>
  <c r="C609" i="2" s="1"/>
  <c r="F607" i="2"/>
  <c r="C610" i="2" s="1"/>
  <c r="G607" i="2"/>
  <c r="C611" i="2" s="1"/>
  <c r="H607" i="2"/>
  <c r="C612" i="2" s="1"/>
  <c r="I607" i="2"/>
  <c r="C613" i="2" s="1"/>
  <c r="A614" i="2"/>
  <c r="B614" i="2"/>
  <c r="D614" i="2"/>
  <c r="C615" i="2" s="1"/>
  <c r="E614" i="2"/>
  <c r="C616" i="2" s="1"/>
  <c r="F614" i="2"/>
  <c r="C617" i="2" s="1"/>
  <c r="G614" i="2"/>
  <c r="C618" i="2" s="1"/>
  <c r="H614" i="2"/>
  <c r="C619" i="2" s="1"/>
  <c r="I614" i="2"/>
  <c r="C620" i="2" s="1"/>
  <c r="A621" i="2"/>
  <c r="B621" i="2"/>
  <c r="D621" i="2"/>
  <c r="C622" i="2" s="1"/>
  <c r="E621" i="2"/>
  <c r="C623" i="2" s="1"/>
  <c r="F621" i="2"/>
  <c r="C624" i="2" s="1"/>
  <c r="G621" i="2"/>
  <c r="C625" i="2" s="1"/>
  <c r="H621" i="2"/>
  <c r="C626" i="2" s="1"/>
  <c r="I621" i="2"/>
  <c r="C627" i="2" s="1"/>
  <c r="A628" i="2"/>
  <c r="B628" i="2"/>
  <c r="D628" i="2"/>
  <c r="C629" i="2" s="1"/>
  <c r="E628" i="2"/>
  <c r="C630" i="2" s="1"/>
  <c r="F628" i="2"/>
  <c r="C631" i="2" s="1"/>
  <c r="G628" i="2"/>
  <c r="C632" i="2" s="1"/>
  <c r="H628" i="2"/>
  <c r="C633" i="2" s="1"/>
  <c r="I628" i="2"/>
  <c r="C634" i="2" s="1"/>
  <c r="A635" i="2"/>
  <c r="B635" i="2"/>
  <c r="D635" i="2"/>
  <c r="C636" i="2" s="1"/>
  <c r="E635" i="2"/>
  <c r="C637" i="2" s="1"/>
  <c r="F635" i="2"/>
  <c r="C638" i="2" s="1"/>
  <c r="G635" i="2"/>
  <c r="C639" i="2" s="1"/>
  <c r="H635" i="2"/>
  <c r="C640" i="2" s="1"/>
  <c r="I635" i="2"/>
  <c r="C641" i="2" s="1"/>
  <c r="A642" i="2"/>
  <c r="B642" i="2"/>
  <c r="D642" i="2"/>
  <c r="C643" i="2" s="1"/>
  <c r="E642" i="2"/>
  <c r="C644" i="2" s="1"/>
  <c r="F642" i="2"/>
  <c r="C645" i="2" s="1"/>
  <c r="G642" i="2"/>
  <c r="C646" i="2" s="1"/>
  <c r="H642" i="2"/>
  <c r="C647" i="2" s="1"/>
  <c r="I642" i="2"/>
  <c r="C648" i="2" s="1"/>
  <c r="A649" i="2"/>
  <c r="B649" i="2"/>
  <c r="D649" i="2"/>
  <c r="C650" i="2" s="1"/>
  <c r="E649" i="2"/>
  <c r="C651" i="2" s="1"/>
  <c r="F649" i="2"/>
  <c r="C652" i="2" s="1"/>
  <c r="G649" i="2"/>
  <c r="C653" i="2" s="1"/>
  <c r="H649" i="2"/>
  <c r="C654" i="2" s="1"/>
  <c r="I649" i="2"/>
  <c r="C655" i="2" s="1"/>
  <c r="A656" i="2"/>
  <c r="B656" i="2"/>
  <c r="D656" i="2"/>
  <c r="C657" i="2" s="1"/>
  <c r="E656" i="2"/>
  <c r="C658" i="2" s="1"/>
  <c r="F656" i="2"/>
  <c r="C659" i="2" s="1"/>
  <c r="G656" i="2"/>
  <c r="C660" i="2" s="1"/>
  <c r="H656" i="2"/>
  <c r="C661" i="2" s="1"/>
  <c r="I656" i="2"/>
  <c r="C662" i="2" s="1"/>
  <c r="A663" i="2"/>
  <c r="B663" i="2"/>
  <c r="D663" i="2"/>
  <c r="C664" i="2" s="1"/>
  <c r="E663" i="2"/>
  <c r="C665" i="2" s="1"/>
  <c r="F663" i="2"/>
  <c r="C666" i="2" s="1"/>
  <c r="G663" i="2"/>
  <c r="C667" i="2" s="1"/>
  <c r="H663" i="2"/>
  <c r="C668" i="2" s="1"/>
  <c r="I663" i="2"/>
  <c r="C669" i="2" s="1"/>
  <c r="A670" i="2"/>
  <c r="B670" i="2"/>
  <c r="D670" i="2"/>
  <c r="C671" i="2" s="1"/>
  <c r="E670" i="2"/>
  <c r="C672" i="2" s="1"/>
  <c r="F670" i="2"/>
  <c r="C673" i="2" s="1"/>
  <c r="G670" i="2"/>
  <c r="C674" i="2" s="1"/>
  <c r="H670" i="2"/>
  <c r="C675" i="2" s="1"/>
  <c r="I670" i="2"/>
  <c r="C676" i="2" s="1"/>
  <c r="A677" i="2"/>
  <c r="B677" i="2"/>
  <c r="D677" i="2"/>
  <c r="C678" i="2" s="1"/>
  <c r="E677" i="2"/>
  <c r="C679" i="2" s="1"/>
  <c r="F677" i="2"/>
  <c r="C680" i="2" s="1"/>
  <c r="G677" i="2"/>
  <c r="C681" i="2" s="1"/>
  <c r="H677" i="2"/>
  <c r="C682" i="2" s="1"/>
  <c r="I677" i="2"/>
  <c r="C683" i="2" s="1"/>
  <c r="C1090" i="2" l="1"/>
  <c r="C873" i="2"/>
  <c r="C915" i="2"/>
  <c r="C943" i="2"/>
  <c r="C929" i="2"/>
  <c r="C635" i="2"/>
  <c r="C663" i="2"/>
  <c r="C705" i="2"/>
  <c r="C922" i="2"/>
  <c r="C740" i="2"/>
  <c r="C691" i="2"/>
  <c r="C726" i="2"/>
  <c r="C1020" i="2"/>
  <c r="C1041" i="2"/>
  <c r="C642" i="2"/>
  <c r="C838" i="2"/>
  <c r="C656" i="2"/>
  <c r="C1083" i="2"/>
  <c r="C845" i="2"/>
  <c r="C1034" i="2"/>
  <c r="C754" i="2"/>
  <c r="C859" i="2"/>
  <c r="C824" i="2"/>
  <c r="C1027" i="2"/>
  <c r="C719" i="2"/>
  <c r="C936" i="2"/>
  <c r="C768" i="2"/>
  <c r="C1006" i="2"/>
  <c r="C992" i="2"/>
  <c r="C1118" i="2"/>
  <c r="C1104" i="2"/>
  <c r="C810" i="2"/>
  <c r="C628" i="2"/>
  <c r="C1097" i="2"/>
  <c r="C880" i="2"/>
  <c r="C817" i="2"/>
  <c r="C901" i="2"/>
  <c r="C600" i="2"/>
  <c r="C957" i="2"/>
  <c r="C698" i="2"/>
  <c r="C978" i="2"/>
  <c r="C964" i="2"/>
  <c r="C1069" i="2"/>
  <c r="C1055" i="2"/>
  <c r="C908" i="2"/>
  <c r="C831" i="2"/>
  <c r="C621" i="2"/>
  <c r="C607" i="2"/>
  <c r="C670" i="2"/>
  <c r="C894" i="2"/>
  <c r="C971" i="2"/>
  <c r="C803" i="2"/>
  <c r="C677" i="2"/>
  <c r="C775" i="2"/>
  <c r="C614" i="2"/>
  <c r="C1048" i="2"/>
  <c r="C789" i="2"/>
  <c r="C761" i="2"/>
  <c r="C1013" i="2"/>
  <c r="C649" i="2"/>
  <c r="C887" i="2"/>
  <c r="C712" i="2"/>
  <c r="C1076" i="2"/>
  <c r="C950" i="2"/>
  <c r="C985" i="2"/>
  <c r="C796" i="2"/>
  <c r="C782" i="2"/>
  <c r="C1062" i="2"/>
  <c r="C999" i="2"/>
  <c r="C684" i="2"/>
  <c r="C747" i="2"/>
  <c r="C1111" i="2"/>
  <c r="C733" i="2"/>
  <c r="C866" i="2"/>
  <c r="C852" i="2"/>
  <c r="A40" i="2"/>
  <c r="B40" i="2"/>
  <c r="D40" i="2"/>
  <c r="C41" i="2" s="1"/>
  <c r="E40" i="2"/>
  <c r="C42" i="2" s="1"/>
  <c r="F40" i="2"/>
  <c r="C43" i="2" s="1"/>
  <c r="G40" i="2"/>
  <c r="C44" i="2" s="1"/>
  <c r="H40" i="2"/>
  <c r="C45" i="2" s="1"/>
  <c r="I40" i="2"/>
  <c r="C46" i="2" s="1"/>
  <c r="A47" i="2"/>
  <c r="B47" i="2"/>
  <c r="D47" i="2"/>
  <c r="C48" i="2" s="1"/>
  <c r="E47" i="2"/>
  <c r="C49" i="2" s="1"/>
  <c r="F47" i="2"/>
  <c r="C50" i="2" s="1"/>
  <c r="G47" i="2"/>
  <c r="C51" i="2" s="1"/>
  <c r="H47" i="2"/>
  <c r="C52" i="2" s="1"/>
  <c r="I47" i="2"/>
  <c r="C53" i="2" s="1"/>
  <c r="A54" i="2"/>
  <c r="B54" i="2"/>
  <c r="D54" i="2"/>
  <c r="C55" i="2" s="1"/>
  <c r="E54" i="2"/>
  <c r="C56" i="2" s="1"/>
  <c r="F54" i="2"/>
  <c r="C57" i="2" s="1"/>
  <c r="G54" i="2"/>
  <c r="C58" i="2" s="1"/>
  <c r="H54" i="2"/>
  <c r="C59" i="2" s="1"/>
  <c r="I54" i="2"/>
  <c r="C60" i="2" s="1"/>
  <c r="A61" i="2"/>
  <c r="B61" i="2"/>
  <c r="D61" i="2"/>
  <c r="C62" i="2" s="1"/>
  <c r="E61" i="2"/>
  <c r="C63" i="2" s="1"/>
  <c r="F61" i="2"/>
  <c r="C64" i="2" s="1"/>
  <c r="G61" i="2"/>
  <c r="C65" i="2" s="1"/>
  <c r="H61" i="2"/>
  <c r="C66" i="2" s="1"/>
  <c r="I61" i="2"/>
  <c r="C67" i="2" s="1"/>
  <c r="A68" i="2"/>
  <c r="B68" i="2"/>
  <c r="D68" i="2"/>
  <c r="C69" i="2" s="1"/>
  <c r="E68" i="2"/>
  <c r="C70" i="2" s="1"/>
  <c r="F68" i="2"/>
  <c r="C71" i="2" s="1"/>
  <c r="G68" i="2"/>
  <c r="C72" i="2" s="1"/>
  <c r="H68" i="2"/>
  <c r="C73" i="2" s="1"/>
  <c r="I68" i="2"/>
  <c r="C74" i="2" s="1"/>
  <c r="A75" i="2"/>
  <c r="B75" i="2"/>
  <c r="D75" i="2"/>
  <c r="C76" i="2" s="1"/>
  <c r="E75" i="2"/>
  <c r="C77" i="2" s="1"/>
  <c r="F75" i="2"/>
  <c r="C78" i="2" s="1"/>
  <c r="G75" i="2"/>
  <c r="C79" i="2" s="1"/>
  <c r="H75" i="2"/>
  <c r="C80" i="2" s="1"/>
  <c r="I75" i="2"/>
  <c r="C81" i="2" s="1"/>
  <c r="A82" i="2"/>
  <c r="B82" i="2"/>
  <c r="D82" i="2"/>
  <c r="C83" i="2" s="1"/>
  <c r="E82" i="2"/>
  <c r="C84" i="2" s="1"/>
  <c r="F82" i="2"/>
  <c r="C85" i="2" s="1"/>
  <c r="G82" i="2"/>
  <c r="C86" i="2" s="1"/>
  <c r="H82" i="2"/>
  <c r="C87" i="2" s="1"/>
  <c r="I82" i="2"/>
  <c r="C88" i="2" s="1"/>
  <c r="A89" i="2"/>
  <c r="B89" i="2"/>
  <c r="D89" i="2"/>
  <c r="C90" i="2" s="1"/>
  <c r="E89" i="2"/>
  <c r="C91" i="2" s="1"/>
  <c r="F89" i="2"/>
  <c r="C92" i="2" s="1"/>
  <c r="G89" i="2"/>
  <c r="C93" i="2" s="1"/>
  <c r="H89" i="2"/>
  <c r="C94" i="2" s="1"/>
  <c r="I89" i="2"/>
  <c r="C95" i="2" s="1"/>
  <c r="A96" i="2"/>
  <c r="B96" i="2"/>
  <c r="D96" i="2"/>
  <c r="C97" i="2" s="1"/>
  <c r="E96" i="2"/>
  <c r="C98" i="2" s="1"/>
  <c r="F96" i="2"/>
  <c r="C99" i="2" s="1"/>
  <c r="G96" i="2"/>
  <c r="C100" i="2" s="1"/>
  <c r="H96" i="2"/>
  <c r="C101" i="2" s="1"/>
  <c r="I96" i="2"/>
  <c r="C102" i="2" s="1"/>
  <c r="A103" i="2"/>
  <c r="B103" i="2"/>
  <c r="D103" i="2"/>
  <c r="C104" i="2" s="1"/>
  <c r="E103" i="2"/>
  <c r="C105" i="2" s="1"/>
  <c r="F103" i="2"/>
  <c r="C106" i="2" s="1"/>
  <c r="G103" i="2"/>
  <c r="C107" i="2" s="1"/>
  <c r="H103" i="2"/>
  <c r="C108" i="2" s="1"/>
  <c r="I103" i="2"/>
  <c r="C109" i="2" s="1"/>
  <c r="A110" i="2"/>
  <c r="B110" i="2"/>
  <c r="D110" i="2"/>
  <c r="C111" i="2" s="1"/>
  <c r="E110" i="2"/>
  <c r="C112" i="2" s="1"/>
  <c r="F110" i="2"/>
  <c r="C113" i="2" s="1"/>
  <c r="G110" i="2"/>
  <c r="C114" i="2" s="1"/>
  <c r="H110" i="2"/>
  <c r="C115" i="2" s="1"/>
  <c r="I110" i="2"/>
  <c r="C116" i="2" s="1"/>
  <c r="A117" i="2"/>
  <c r="B117" i="2"/>
  <c r="D117" i="2"/>
  <c r="C118" i="2" s="1"/>
  <c r="E117" i="2"/>
  <c r="C119" i="2" s="1"/>
  <c r="F117" i="2"/>
  <c r="C120" i="2" s="1"/>
  <c r="G117" i="2"/>
  <c r="C121" i="2" s="1"/>
  <c r="H117" i="2"/>
  <c r="C122" i="2" s="1"/>
  <c r="I117" i="2"/>
  <c r="C123" i="2" s="1"/>
  <c r="A124" i="2"/>
  <c r="B124" i="2"/>
  <c r="D124" i="2"/>
  <c r="C125" i="2" s="1"/>
  <c r="E124" i="2"/>
  <c r="C126" i="2" s="1"/>
  <c r="F124" i="2"/>
  <c r="C127" i="2" s="1"/>
  <c r="G124" i="2"/>
  <c r="C128" i="2" s="1"/>
  <c r="H124" i="2"/>
  <c r="C129" i="2" s="1"/>
  <c r="I124" i="2"/>
  <c r="C130" i="2" s="1"/>
  <c r="A131" i="2"/>
  <c r="B131" i="2"/>
  <c r="D131" i="2"/>
  <c r="C132" i="2" s="1"/>
  <c r="E131" i="2"/>
  <c r="C133" i="2" s="1"/>
  <c r="F131" i="2"/>
  <c r="C134" i="2" s="1"/>
  <c r="G131" i="2"/>
  <c r="C135" i="2" s="1"/>
  <c r="H131" i="2"/>
  <c r="C136" i="2" s="1"/>
  <c r="I131" i="2"/>
  <c r="C137" i="2" s="1"/>
  <c r="A138" i="2"/>
  <c r="B138" i="2"/>
  <c r="D138" i="2"/>
  <c r="C139" i="2" s="1"/>
  <c r="E138" i="2"/>
  <c r="C140" i="2" s="1"/>
  <c r="F138" i="2"/>
  <c r="C141" i="2" s="1"/>
  <c r="G138" i="2"/>
  <c r="C142" i="2" s="1"/>
  <c r="H138" i="2"/>
  <c r="C143" i="2" s="1"/>
  <c r="I138" i="2"/>
  <c r="C144" i="2" s="1"/>
  <c r="A145" i="2"/>
  <c r="B145" i="2"/>
  <c r="D145" i="2"/>
  <c r="C146" i="2" s="1"/>
  <c r="E145" i="2"/>
  <c r="C147" i="2" s="1"/>
  <c r="F145" i="2"/>
  <c r="C148" i="2" s="1"/>
  <c r="G145" i="2"/>
  <c r="C149" i="2" s="1"/>
  <c r="H145" i="2"/>
  <c r="C150" i="2" s="1"/>
  <c r="I145" i="2"/>
  <c r="C151" i="2" s="1"/>
  <c r="A152" i="2"/>
  <c r="B152" i="2"/>
  <c r="D152" i="2"/>
  <c r="C153" i="2" s="1"/>
  <c r="E152" i="2"/>
  <c r="C154" i="2" s="1"/>
  <c r="F152" i="2"/>
  <c r="C155" i="2" s="1"/>
  <c r="G152" i="2"/>
  <c r="C156" i="2" s="1"/>
  <c r="H152" i="2"/>
  <c r="I152" i="2"/>
  <c r="C158" i="2" s="1"/>
  <c r="A159" i="2"/>
  <c r="B159" i="2"/>
  <c r="D159" i="2"/>
  <c r="C160" i="2" s="1"/>
  <c r="E159" i="2"/>
  <c r="C161" i="2" s="1"/>
  <c r="F159" i="2"/>
  <c r="C162" i="2" s="1"/>
  <c r="G159" i="2"/>
  <c r="C163" i="2" s="1"/>
  <c r="H159" i="2"/>
  <c r="C164" i="2" s="1"/>
  <c r="I159" i="2"/>
  <c r="C165" i="2" s="1"/>
  <c r="A166" i="2"/>
  <c r="B166" i="2"/>
  <c r="D166" i="2"/>
  <c r="C167" i="2" s="1"/>
  <c r="E166" i="2"/>
  <c r="C168" i="2" s="1"/>
  <c r="F166" i="2"/>
  <c r="C169" i="2" s="1"/>
  <c r="G166" i="2"/>
  <c r="C170" i="2" s="1"/>
  <c r="H166" i="2"/>
  <c r="C171" i="2" s="1"/>
  <c r="I166" i="2"/>
  <c r="C172" i="2" s="1"/>
  <c r="A173" i="2"/>
  <c r="B173" i="2"/>
  <c r="D173" i="2"/>
  <c r="C174" i="2" s="1"/>
  <c r="E173" i="2"/>
  <c r="C175" i="2" s="1"/>
  <c r="F173" i="2"/>
  <c r="C176" i="2" s="1"/>
  <c r="G173" i="2"/>
  <c r="C177" i="2" s="1"/>
  <c r="H173" i="2"/>
  <c r="C178" i="2" s="1"/>
  <c r="I173" i="2"/>
  <c r="C179" i="2" s="1"/>
  <c r="A180" i="2"/>
  <c r="B180" i="2"/>
  <c r="D180" i="2"/>
  <c r="C181" i="2" s="1"/>
  <c r="E180" i="2"/>
  <c r="C182" i="2" s="1"/>
  <c r="F180" i="2"/>
  <c r="C183" i="2" s="1"/>
  <c r="G180" i="2"/>
  <c r="C184" i="2" s="1"/>
  <c r="H180" i="2"/>
  <c r="C185" i="2" s="1"/>
  <c r="I180" i="2"/>
  <c r="C186" i="2" s="1"/>
  <c r="A187" i="2"/>
  <c r="B187" i="2"/>
  <c r="D187" i="2"/>
  <c r="C188" i="2" s="1"/>
  <c r="E187" i="2"/>
  <c r="C189" i="2" s="1"/>
  <c r="F187" i="2"/>
  <c r="C190" i="2" s="1"/>
  <c r="G187" i="2"/>
  <c r="C191" i="2" s="1"/>
  <c r="H187" i="2"/>
  <c r="C192" i="2" s="1"/>
  <c r="I187" i="2"/>
  <c r="C193" i="2" s="1"/>
  <c r="A194" i="2"/>
  <c r="B194" i="2"/>
  <c r="D194" i="2"/>
  <c r="C195" i="2" s="1"/>
  <c r="E194" i="2"/>
  <c r="C196" i="2" s="1"/>
  <c r="F194" i="2"/>
  <c r="C197" i="2" s="1"/>
  <c r="G194" i="2"/>
  <c r="C198" i="2" s="1"/>
  <c r="H194" i="2"/>
  <c r="C199" i="2" s="1"/>
  <c r="I194" i="2"/>
  <c r="C200" i="2" s="1"/>
  <c r="A201" i="2"/>
  <c r="B201" i="2"/>
  <c r="D201" i="2"/>
  <c r="C202" i="2" s="1"/>
  <c r="E201" i="2"/>
  <c r="C203" i="2" s="1"/>
  <c r="F201" i="2"/>
  <c r="C204" i="2" s="1"/>
  <c r="G201" i="2"/>
  <c r="C205" i="2" s="1"/>
  <c r="H201" i="2"/>
  <c r="C206" i="2" s="1"/>
  <c r="I201" i="2"/>
  <c r="C207" i="2" s="1"/>
  <c r="A208" i="2"/>
  <c r="B208" i="2"/>
  <c r="D208" i="2"/>
  <c r="C209" i="2" s="1"/>
  <c r="E208" i="2"/>
  <c r="C210" i="2" s="1"/>
  <c r="F208" i="2"/>
  <c r="C211" i="2" s="1"/>
  <c r="G208" i="2"/>
  <c r="C212" i="2" s="1"/>
  <c r="H208" i="2"/>
  <c r="C213" i="2" s="1"/>
  <c r="I208" i="2"/>
  <c r="C214" i="2" s="1"/>
  <c r="A215" i="2"/>
  <c r="B215" i="2"/>
  <c r="D215" i="2"/>
  <c r="C216" i="2" s="1"/>
  <c r="E215" i="2"/>
  <c r="C217" i="2" s="1"/>
  <c r="F215" i="2"/>
  <c r="C218" i="2" s="1"/>
  <c r="G215" i="2"/>
  <c r="C219" i="2" s="1"/>
  <c r="H215" i="2"/>
  <c r="C220" i="2" s="1"/>
  <c r="I215" i="2"/>
  <c r="C221" i="2" s="1"/>
  <c r="A222" i="2"/>
  <c r="B222" i="2"/>
  <c r="D222" i="2"/>
  <c r="C223" i="2" s="1"/>
  <c r="E222" i="2"/>
  <c r="C224" i="2" s="1"/>
  <c r="F222" i="2"/>
  <c r="C225" i="2" s="1"/>
  <c r="G222" i="2"/>
  <c r="C226" i="2" s="1"/>
  <c r="H222" i="2"/>
  <c r="C227" i="2" s="1"/>
  <c r="I222" i="2"/>
  <c r="C228" i="2" s="1"/>
  <c r="A229" i="2"/>
  <c r="B229" i="2"/>
  <c r="D229" i="2"/>
  <c r="C230" i="2" s="1"/>
  <c r="E229" i="2"/>
  <c r="C231" i="2" s="1"/>
  <c r="F229" i="2"/>
  <c r="C232" i="2" s="1"/>
  <c r="G229" i="2"/>
  <c r="C233" i="2" s="1"/>
  <c r="H229" i="2"/>
  <c r="C234" i="2" s="1"/>
  <c r="I229" i="2"/>
  <c r="C235" i="2" s="1"/>
  <c r="A236" i="2"/>
  <c r="B236" i="2"/>
  <c r="D236" i="2"/>
  <c r="C237" i="2" s="1"/>
  <c r="E236" i="2"/>
  <c r="C238" i="2" s="1"/>
  <c r="F236" i="2"/>
  <c r="C239" i="2" s="1"/>
  <c r="G236" i="2"/>
  <c r="C240" i="2" s="1"/>
  <c r="H236" i="2"/>
  <c r="C241" i="2" s="1"/>
  <c r="I236" i="2"/>
  <c r="C242" i="2" s="1"/>
  <c r="A243" i="2"/>
  <c r="B243" i="2"/>
  <c r="D243" i="2"/>
  <c r="C244" i="2" s="1"/>
  <c r="E243" i="2"/>
  <c r="C245" i="2" s="1"/>
  <c r="F243" i="2"/>
  <c r="C246" i="2" s="1"/>
  <c r="G243" i="2"/>
  <c r="C247" i="2" s="1"/>
  <c r="H243" i="2"/>
  <c r="C248" i="2" s="1"/>
  <c r="I243" i="2"/>
  <c r="C249" i="2" s="1"/>
  <c r="A250" i="2"/>
  <c r="B250" i="2"/>
  <c r="D250" i="2"/>
  <c r="C251" i="2" s="1"/>
  <c r="E250" i="2"/>
  <c r="C252" i="2" s="1"/>
  <c r="F250" i="2"/>
  <c r="C253" i="2" s="1"/>
  <c r="G250" i="2"/>
  <c r="C254" i="2" s="1"/>
  <c r="H250" i="2"/>
  <c r="C255" i="2" s="1"/>
  <c r="I250" i="2"/>
  <c r="C256" i="2" s="1"/>
  <c r="A257" i="2"/>
  <c r="B257" i="2"/>
  <c r="D257" i="2"/>
  <c r="C258" i="2" s="1"/>
  <c r="E257" i="2"/>
  <c r="C259" i="2" s="1"/>
  <c r="F257" i="2"/>
  <c r="C260" i="2" s="1"/>
  <c r="G257" i="2"/>
  <c r="C261" i="2" s="1"/>
  <c r="H257" i="2"/>
  <c r="C262" i="2" s="1"/>
  <c r="I257" i="2"/>
  <c r="C263" i="2" s="1"/>
  <c r="A264" i="2"/>
  <c r="B264" i="2"/>
  <c r="D264" i="2"/>
  <c r="C265" i="2" s="1"/>
  <c r="E264" i="2"/>
  <c r="C266" i="2" s="1"/>
  <c r="F264" i="2"/>
  <c r="C267" i="2" s="1"/>
  <c r="G264" i="2"/>
  <c r="C268" i="2" s="1"/>
  <c r="H264" i="2"/>
  <c r="C269" i="2" s="1"/>
  <c r="I264" i="2"/>
  <c r="C270" i="2" s="1"/>
  <c r="A271" i="2"/>
  <c r="B271" i="2"/>
  <c r="D271" i="2"/>
  <c r="C272" i="2" s="1"/>
  <c r="E271" i="2"/>
  <c r="C273" i="2" s="1"/>
  <c r="F271" i="2"/>
  <c r="C274" i="2" s="1"/>
  <c r="G271" i="2"/>
  <c r="C275" i="2" s="1"/>
  <c r="H271" i="2"/>
  <c r="C276" i="2" s="1"/>
  <c r="I271" i="2"/>
  <c r="C277" i="2" s="1"/>
  <c r="A278" i="2"/>
  <c r="B278" i="2"/>
  <c r="D278" i="2"/>
  <c r="C279" i="2" s="1"/>
  <c r="E278" i="2"/>
  <c r="C280" i="2" s="1"/>
  <c r="F278" i="2"/>
  <c r="C281" i="2" s="1"/>
  <c r="G278" i="2"/>
  <c r="C282" i="2" s="1"/>
  <c r="H278" i="2"/>
  <c r="C283" i="2" s="1"/>
  <c r="I278" i="2"/>
  <c r="C284" i="2" s="1"/>
  <c r="A285" i="2"/>
  <c r="B285" i="2"/>
  <c r="D285" i="2"/>
  <c r="C286" i="2" s="1"/>
  <c r="E285" i="2"/>
  <c r="C287" i="2" s="1"/>
  <c r="F285" i="2"/>
  <c r="C288" i="2" s="1"/>
  <c r="G285" i="2"/>
  <c r="C289" i="2" s="1"/>
  <c r="H285" i="2"/>
  <c r="C290" i="2" s="1"/>
  <c r="I285" i="2"/>
  <c r="C291" i="2" s="1"/>
  <c r="A292" i="2"/>
  <c r="B292" i="2"/>
  <c r="D292" i="2"/>
  <c r="C293" i="2" s="1"/>
  <c r="E292" i="2"/>
  <c r="C294" i="2" s="1"/>
  <c r="F292" i="2"/>
  <c r="C295" i="2" s="1"/>
  <c r="G292" i="2"/>
  <c r="C296" i="2" s="1"/>
  <c r="H292" i="2"/>
  <c r="C297" i="2" s="1"/>
  <c r="I292" i="2"/>
  <c r="C298" i="2" s="1"/>
  <c r="A299" i="2"/>
  <c r="B299" i="2"/>
  <c r="D299" i="2"/>
  <c r="C300" i="2" s="1"/>
  <c r="E299" i="2"/>
  <c r="C301" i="2" s="1"/>
  <c r="F299" i="2"/>
  <c r="C302" i="2" s="1"/>
  <c r="G299" i="2"/>
  <c r="C303" i="2" s="1"/>
  <c r="H299" i="2"/>
  <c r="C304" i="2" s="1"/>
  <c r="I299" i="2"/>
  <c r="C305" i="2" s="1"/>
  <c r="A306" i="2"/>
  <c r="B306" i="2"/>
  <c r="D306" i="2"/>
  <c r="C307" i="2" s="1"/>
  <c r="E306" i="2"/>
  <c r="C308" i="2" s="1"/>
  <c r="F306" i="2"/>
  <c r="C309" i="2" s="1"/>
  <c r="G306" i="2"/>
  <c r="C310" i="2" s="1"/>
  <c r="H306" i="2"/>
  <c r="C311" i="2" s="1"/>
  <c r="I306" i="2"/>
  <c r="C312" i="2" s="1"/>
  <c r="A313" i="2"/>
  <c r="B313" i="2"/>
  <c r="D313" i="2"/>
  <c r="C314" i="2" s="1"/>
  <c r="E313" i="2"/>
  <c r="C315" i="2" s="1"/>
  <c r="F313" i="2"/>
  <c r="C316" i="2" s="1"/>
  <c r="G313" i="2"/>
  <c r="C317" i="2" s="1"/>
  <c r="H313" i="2"/>
  <c r="C318" i="2" s="1"/>
  <c r="I313" i="2"/>
  <c r="C319" i="2" s="1"/>
  <c r="A320" i="2"/>
  <c r="B320" i="2"/>
  <c r="D320" i="2"/>
  <c r="C321" i="2" s="1"/>
  <c r="E320" i="2"/>
  <c r="C322" i="2" s="1"/>
  <c r="F320" i="2"/>
  <c r="C323" i="2" s="1"/>
  <c r="G320" i="2"/>
  <c r="C324" i="2" s="1"/>
  <c r="H320" i="2"/>
  <c r="C325" i="2" s="1"/>
  <c r="I320" i="2"/>
  <c r="C326" i="2" s="1"/>
  <c r="A327" i="2"/>
  <c r="B327" i="2"/>
  <c r="D327" i="2"/>
  <c r="C328" i="2" s="1"/>
  <c r="E327" i="2"/>
  <c r="C329" i="2" s="1"/>
  <c r="F327" i="2"/>
  <c r="C330" i="2" s="1"/>
  <c r="G327" i="2"/>
  <c r="C331" i="2" s="1"/>
  <c r="H327" i="2"/>
  <c r="C332" i="2" s="1"/>
  <c r="I327" i="2"/>
  <c r="C333" i="2" s="1"/>
  <c r="A334" i="2"/>
  <c r="B334" i="2"/>
  <c r="D334" i="2"/>
  <c r="C335" i="2" s="1"/>
  <c r="E334" i="2"/>
  <c r="C336" i="2" s="1"/>
  <c r="F334" i="2"/>
  <c r="C337" i="2" s="1"/>
  <c r="G334" i="2"/>
  <c r="C338" i="2" s="1"/>
  <c r="H334" i="2"/>
  <c r="C339" i="2" s="1"/>
  <c r="I334" i="2"/>
  <c r="C340" i="2" s="1"/>
  <c r="A341" i="2"/>
  <c r="B341" i="2"/>
  <c r="D341" i="2"/>
  <c r="C342" i="2" s="1"/>
  <c r="E341" i="2"/>
  <c r="C343" i="2" s="1"/>
  <c r="F341" i="2"/>
  <c r="C344" i="2" s="1"/>
  <c r="G341" i="2"/>
  <c r="C345" i="2" s="1"/>
  <c r="H341" i="2"/>
  <c r="C346" i="2" s="1"/>
  <c r="I341" i="2"/>
  <c r="C347" i="2" s="1"/>
  <c r="A348" i="2"/>
  <c r="B348" i="2"/>
  <c r="D348" i="2"/>
  <c r="C349" i="2" s="1"/>
  <c r="E348" i="2"/>
  <c r="C350" i="2" s="1"/>
  <c r="F348" i="2"/>
  <c r="C351" i="2" s="1"/>
  <c r="G348" i="2"/>
  <c r="C352" i="2" s="1"/>
  <c r="H348" i="2"/>
  <c r="C353" i="2" s="1"/>
  <c r="I348" i="2"/>
  <c r="C354" i="2" s="1"/>
  <c r="A355" i="2"/>
  <c r="B355" i="2"/>
  <c r="D355" i="2"/>
  <c r="C356" i="2" s="1"/>
  <c r="E355" i="2"/>
  <c r="C357" i="2" s="1"/>
  <c r="F355" i="2"/>
  <c r="C358" i="2" s="1"/>
  <c r="G355" i="2"/>
  <c r="C359" i="2" s="1"/>
  <c r="H355" i="2"/>
  <c r="C360" i="2" s="1"/>
  <c r="I355" i="2"/>
  <c r="C361" i="2" s="1"/>
  <c r="A362" i="2"/>
  <c r="B362" i="2"/>
  <c r="D362" i="2"/>
  <c r="C363" i="2" s="1"/>
  <c r="E362" i="2"/>
  <c r="C364" i="2" s="1"/>
  <c r="F362" i="2"/>
  <c r="C365" i="2" s="1"/>
  <c r="G362" i="2"/>
  <c r="C366" i="2" s="1"/>
  <c r="H362" i="2"/>
  <c r="C367" i="2" s="1"/>
  <c r="I362" i="2"/>
  <c r="C368" i="2" s="1"/>
  <c r="A369" i="2"/>
  <c r="B369" i="2"/>
  <c r="D369" i="2"/>
  <c r="C370" i="2" s="1"/>
  <c r="E369" i="2"/>
  <c r="C371" i="2" s="1"/>
  <c r="F369" i="2"/>
  <c r="C372" i="2" s="1"/>
  <c r="G369" i="2"/>
  <c r="C373" i="2" s="1"/>
  <c r="H369" i="2"/>
  <c r="C374" i="2" s="1"/>
  <c r="I369" i="2"/>
  <c r="C375" i="2" s="1"/>
  <c r="A376" i="2"/>
  <c r="B376" i="2"/>
  <c r="D376" i="2"/>
  <c r="C377" i="2" s="1"/>
  <c r="E376" i="2"/>
  <c r="C378" i="2" s="1"/>
  <c r="F376" i="2"/>
  <c r="C379" i="2" s="1"/>
  <c r="G376" i="2"/>
  <c r="C380" i="2" s="1"/>
  <c r="H376" i="2"/>
  <c r="C381" i="2" s="1"/>
  <c r="I376" i="2"/>
  <c r="C382" i="2" s="1"/>
  <c r="A383" i="2"/>
  <c r="B383" i="2"/>
  <c r="D383" i="2"/>
  <c r="C384" i="2" s="1"/>
  <c r="E383" i="2"/>
  <c r="C385" i="2" s="1"/>
  <c r="F383" i="2"/>
  <c r="C386" i="2" s="1"/>
  <c r="G383" i="2"/>
  <c r="C387" i="2" s="1"/>
  <c r="H383" i="2"/>
  <c r="C388" i="2" s="1"/>
  <c r="I383" i="2"/>
  <c r="C389" i="2" s="1"/>
  <c r="A390" i="2"/>
  <c r="B390" i="2"/>
  <c r="D390" i="2"/>
  <c r="C391" i="2" s="1"/>
  <c r="E390" i="2"/>
  <c r="C392" i="2" s="1"/>
  <c r="F390" i="2"/>
  <c r="C393" i="2" s="1"/>
  <c r="G390" i="2"/>
  <c r="C394" i="2" s="1"/>
  <c r="H390" i="2"/>
  <c r="C395" i="2" s="1"/>
  <c r="I390" i="2"/>
  <c r="C396" i="2" s="1"/>
  <c r="A397" i="2"/>
  <c r="B397" i="2"/>
  <c r="D397" i="2"/>
  <c r="C398" i="2" s="1"/>
  <c r="E397" i="2"/>
  <c r="C399" i="2" s="1"/>
  <c r="F397" i="2"/>
  <c r="C400" i="2" s="1"/>
  <c r="G397" i="2"/>
  <c r="C401" i="2" s="1"/>
  <c r="H397" i="2"/>
  <c r="C402" i="2" s="1"/>
  <c r="I397" i="2"/>
  <c r="C403" i="2" s="1"/>
  <c r="A404" i="2"/>
  <c r="B404" i="2"/>
  <c r="D404" i="2"/>
  <c r="C405" i="2" s="1"/>
  <c r="E404" i="2"/>
  <c r="C406" i="2" s="1"/>
  <c r="F404" i="2"/>
  <c r="C407" i="2" s="1"/>
  <c r="G404" i="2"/>
  <c r="C408" i="2" s="1"/>
  <c r="H404" i="2"/>
  <c r="C409" i="2" s="1"/>
  <c r="I404" i="2"/>
  <c r="C410" i="2" s="1"/>
  <c r="A411" i="2"/>
  <c r="B411" i="2"/>
  <c r="D411" i="2"/>
  <c r="C412" i="2" s="1"/>
  <c r="E411" i="2"/>
  <c r="C413" i="2" s="1"/>
  <c r="F411" i="2"/>
  <c r="C414" i="2" s="1"/>
  <c r="G411" i="2"/>
  <c r="C415" i="2" s="1"/>
  <c r="H411" i="2"/>
  <c r="C416" i="2" s="1"/>
  <c r="I411" i="2"/>
  <c r="C417" i="2" s="1"/>
  <c r="A418" i="2"/>
  <c r="B418" i="2"/>
  <c r="D418" i="2"/>
  <c r="C419" i="2" s="1"/>
  <c r="E418" i="2"/>
  <c r="C420" i="2" s="1"/>
  <c r="F418" i="2"/>
  <c r="C421" i="2" s="1"/>
  <c r="G418" i="2"/>
  <c r="C422" i="2" s="1"/>
  <c r="H418" i="2"/>
  <c r="C423" i="2" s="1"/>
  <c r="I418" i="2"/>
  <c r="C424" i="2" s="1"/>
  <c r="A425" i="2"/>
  <c r="B425" i="2"/>
  <c r="D425" i="2"/>
  <c r="C426" i="2" s="1"/>
  <c r="E425" i="2"/>
  <c r="C427" i="2" s="1"/>
  <c r="F425" i="2"/>
  <c r="C428" i="2" s="1"/>
  <c r="G425" i="2"/>
  <c r="C429" i="2" s="1"/>
  <c r="H425" i="2"/>
  <c r="C430" i="2" s="1"/>
  <c r="I425" i="2"/>
  <c r="C431" i="2" s="1"/>
  <c r="A432" i="2"/>
  <c r="B432" i="2"/>
  <c r="D432" i="2"/>
  <c r="C433" i="2" s="1"/>
  <c r="E432" i="2"/>
  <c r="C434" i="2" s="1"/>
  <c r="F432" i="2"/>
  <c r="C435" i="2" s="1"/>
  <c r="G432" i="2"/>
  <c r="C436" i="2" s="1"/>
  <c r="H432" i="2"/>
  <c r="C437" i="2" s="1"/>
  <c r="I432" i="2"/>
  <c r="C438" i="2" s="1"/>
  <c r="A439" i="2"/>
  <c r="B439" i="2"/>
  <c r="D439" i="2"/>
  <c r="C440" i="2" s="1"/>
  <c r="E439" i="2"/>
  <c r="C441" i="2" s="1"/>
  <c r="F439" i="2"/>
  <c r="C442" i="2" s="1"/>
  <c r="G439" i="2"/>
  <c r="C443" i="2" s="1"/>
  <c r="H439" i="2"/>
  <c r="C444" i="2" s="1"/>
  <c r="I439" i="2"/>
  <c r="C445" i="2" s="1"/>
  <c r="A446" i="2"/>
  <c r="B446" i="2"/>
  <c r="D446" i="2"/>
  <c r="C447" i="2" s="1"/>
  <c r="E446" i="2"/>
  <c r="C448" i="2" s="1"/>
  <c r="F446" i="2"/>
  <c r="C449" i="2" s="1"/>
  <c r="G446" i="2"/>
  <c r="C450" i="2" s="1"/>
  <c r="H446" i="2"/>
  <c r="C451" i="2" s="1"/>
  <c r="I446" i="2"/>
  <c r="C452" i="2" s="1"/>
  <c r="A453" i="2"/>
  <c r="B453" i="2"/>
  <c r="D453" i="2"/>
  <c r="C454" i="2" s="1"/>
  <c r="E453" i="2"/>
  <c r="C455" i="2" s="1"/>
  <c r="F453" i="2"/>
  <c r="C456" i="2" s="1"/>
  <c r="G453" i="2"/>
  <c r="C457" i="2" s="1"/>
  <c r="H453" i="2"/>
  <c r="C458" i="2" s="1"/>
  <c r="I453" i="2"/>
  <c r="C459" i="2" s="1"/>
  <c r="A460" i="2"/>
  <c r="B460" i="2"/>
  <c r="D460" i="2"/>
  <c r="C461" i="2" s="1"/>
  <c r="E460" i="2"/>
  <c r="C462" i="2" s="1"/>
  <c r="F460" i="2"/>
  <c r="C463" i="2" s="1"/>
  <c r="G460" i="2"/>
  <c r="C464" i="2" s="1"/>
  <c r="H460" i="2"/>
  <c r="C465" i="2" s="1"/>
  <c r="I460" i="2"/>
  <c r="C466" i="2" s="1"/>
  <c r="A467" i="2"/>
  <c r="B467" i="2"/>
  <c r="D467" i="2"/>
  <c r="C468" i="2" s="1"/>
  <c r="E467" i="2"/>
  <c r="C469" i="2" s="1"/>
  <c r="F467" i="2"/>
  <c r="C470" i="2" s="1"/>
  <c r="G467" i="2"/>
  <c r="C471" i="2" s="1"/>
  <c r="H467" i="2"/>
  <c r="C472" i="2" s="1"/>
  <c r="I467" i="2"/>
  <c r="C473" i="2" s="1"/>
  <c r="A474" i="2"/>
  <c r="B474" i="2"/>
  <c r="D474" i="2"/>
  <c r="C475" i="2" s="1"/>
  <c r="E474" i="2"/>
  <c r="C476" i="2" s="1"/>
  <c r="F474" i="2"/>
  <c r="C477" i="2" s="1"/>
  <c r="G474" i="2"/>
  <c r="C478" i="2" s="1"/>
  <c r="H474" i="2"/>
  <c r="C479" i="2" s="1"/>
  <c r="I474" i="2"/>
  <c r="C480" i="2" s="1"/>
  <c r="A481" i="2"/>
  <c r="B481" i="2"/>
  <c r="D481" i="2"/>
  <c r="C482" i="2" s="1"/>
  <c r="E481" i="2"/>
  <c r="C483" i="2" s="1"/>
  <c r="F481" i="2"/>
  <c r="C484" i="2" s="1"/>
  <c r="G481" i="2"/>
  <c r="C485" i="2" s="1"/>
  <c r="H481" i="2"/>
  <c r="C486" i="2" s="1"/>
  <c r="I481" i="2"/>
  <c r="C487" i="2" s="1"/>
  <c r="A488" i="2"/>
  <c r="B488" i="2"/>
  <c r="D488" i="2"/>
  <c r="C489" i="2" s="1"/>
  <c r="E488" i="2"/>
  <c r="C490" i="2" s="1"/>
  <c r="F488" i="2"/>
  <c r="C491" i="2" s="1"/>
  <c r="G488" i="2"/>
  <c r="C492" i="2" s="1"/>
  <c r="H488" i="2"/>
  <c r="C493" i="2" s="1"/>
  <c r="I488" i="2"/>
  <c r="C494" i="2" s="1"/>
  <c r="A495" i="2"/>
  <c r="B495" i="2"/>
  <c r="D495" i="2"/>
  <c r="C496" i="2" s="1"/>
  <c r="E495" i="2"/>
  <c r="C497" i="2" s="1"/>
  <c r="F495" i="2"/>
  <c r="C498" i="2" s="1"/>
  <c r="G495" i="2"/>
  <c r="C499" i="2" s="1"/>
  <c r="H495" i="2"/>
  <c r="C500" i="2" s="1"/>
  <c r="I495" i="2"/>
  <c r="C501" i="2" s="1"/>
  <c r="A502" i="2"/>
  <c r="B502" i="2"/>
  <c r="D502" i="2"/>
  <c r="C503" i="2" s="1"/>
  <c r="E502" i="2"/>
  <c r="C504" i="2" s="1"/>
  <c r="F502" i="2"/>
  <c r="C505" i="2" s="1"/>
  <c r="G502" i="2"/>
  <c r="C506" i="2" s="1"/>
  <c r="H502" i="2"/>
  <c r="C507" i="2" s="1"/>
  <c r="I502" i="2"/>
  <c r="C508" i="2" s="1"/>
  <c r="A509" i="2"/>
  <c r="B509" i="2"/>
  <c r="D509" i="2"/>
  <c r="C510" i="2" s="1"/>
  <c r="E509" i="2"/>
  <c r="C511" i="2" s="1"/>
  <c r="F509" i="2"/>
  <c r="C512" i="2" s="1"/>
  <c r="G509" i="2"/>
  <c r="C513" i="2" s="1"/>
  <c r="H509" i="2"/>
  <c r="C514" i="2" s="1"/>
  <c r="I509" i="2"/>
  <c r="C515" i="2" s="1"/>
  <c r="A516" i="2"/>
  <c r="B516" i="2"/>
  <c r="D516" i="2"/>
  <c r="C517" i="2" s="1"/>
  <c r="E516" i="2"/>
  <c r="C518" i="2" s="1"/>
  <c r="F516" i="2"/>
  <c r="C519" i="2" s="1"/>
  <c r="G516" i="2"/>
  <c r="C520" i="2" s="1"/>
  <c r="H516" i="2"/>
  <c r="C521" i="2" s="1"/>
  <c r="I516" i="2"/>
  <c r="C522" i="2" s="1"/>
  <c r="A523" i="2"/>
  <c r="B523" i="2"/>
  <c r="D523" i="2"/>
  <c r="C524" i="2" s="1"/>
  <c r="E523" i="2"/>
  <c r="C525" i="2" s="1"/>
  <c r="F523" i="2"/>
  <c r="C526" i="2" s="1"/>
  <c r="G523" i="2"/>
  <c r="C527" i="2" s="1"/>
  <c r="H523" i="2"/>
  <c r="C528" i="2" s="1"/>
  <c r="I523" i="2"/>
  <c r="C529" i="2" s="1"/>
  <c r="A530" i="2"/>
  <c r="B530" i="2"/>
  <c r="D530" i="2"/>
  <c r="C531" i="2" s="1"/>
  <c r="E530" i="2"/>
  <c r="C532" i="2" s="1"/>
  <c r="F530" i="2"/>
  <c r="C533" i="2" s="1"/>
  <c r="G530" i="2"/>
  <c r="C534" i="2" s="1"/>
  <c r="H530" i="2"/>
  <c r="C535" i="2" s="1"/>
  <c r="I530" i="2"/>
  <c r="C536" i="2" s="1"/>
  <c r="A537" i="2"/>
  <c r="B537" i="2"/>
  <c r="D537" i="2"/>
  <c r="C538" i="2" s="1"/>
  <c r="E537" i="2"/>
  <c r="C539" i="2" s="1"/>
  <c r="F537" i="2"/>
  <c r="C540" i="2" s="1"/>
  <c r="G537" i="2"/>
  <c r="C541" i="2" s="1"/>
  <c r="H537" i="2"/>
  <c r="C542" i="2" s="1"/>
  <c r="I537" i="2"/>
  <c r="C543" i="2" s="1"/>
  <c r="A544" i="2"/>
  <c r="B544" i="2"/>
  <c r="D544" i="2"/>
  <c r="C545" i="2" s="1"/>
  <c r="E544" i="2"/>
  <c r="C546" i="2" s="1"/>
  <c r="F544" i="2"/>
  <c r="C547" i="2" s="1"/>
  <c r="G544" i="2"/>
  <c r="C548" i="2" s="1"/>
  <c r="H544" i="2"/>
  <c r="C549" i="2" s="1"/>
  <c r="I544" i="2"/>
  <c r="C550" i="2" s="1"/>
  <c r="A551" i="2"/>
  <c r="B551" i="2"/>
  <c r="D551" i="2"/>
  <c r="C552" i="2" s="1"/>
  <c r="E551" i="2"/>
  <c r="C553" i="2" s="1"/>
  <c r="F551" i="2"/>
  <c r="C554" i="2" s="1"/>
  <c r="G551" i="2"/>
  <c r="C555" i="2" s="1"/>
  <c r="H551" i="2"/>
  <c r="C556" i="2" s="1"/>
  <c r="I551" i="2"/>
  <c r="C557" i="2" s="1"/>
  <c r="A558" i="2"/>
  <c r="B558" i="2"/>
  <c r="D558" i="2"/>
  <c r="C559" i="2" s="1"/>
  <c r="E558" i="2"/>
  <c r="C560" i="2" s="1"/>
  <c r="F558" i="2"/>
  <c r="C561" i="2" s="1"/>
  <c r="G558" i="2"/>
  <c r="C562" i="2" s="1"/>
  <c r="H558" i="2"/>
  <c r="C563" i="2" s="1"/>
  <c r="I558" i="2"/>
  <c r="C564" i="2" s="1"/>
  <c r="A565" i="2"/>
  <c r="B565" i="2"/>
  <c r="D565" i="2"/>
  <c r="C566" i="2" s="1"/>
  <c r="E565" i="2"/>
  <c r="C567" i="2" s="1"/>
  <c r="F565" i="2"/>
  <c r="C568" i="2" s="1"/>
  <c r="G565" i="2"/>
  <c r="C569" i="2" s="1"/>
  <c r="H565" i="2"/>
  <c r="C570" i="2" s="1"/>
  <c r="I565" i="2"/>
  <c r="C571" i="2" s="1"/>
  <c r="A572" i="2"/>
  <c r="B572" i="2"/>
  <c r="D572" i="2"/>
  <c r="C573" i="2" s="1"/>
  <c r="E572" i="2"/>
  <c r="C574" i="2" s="1"/>
  <c r="F572" i="2"/>
  <c r="C575" i="2" s="1"/>
  <c r="G572" i="2"/>
  <c r="C576" i="2" s="1"/>
  <c r="H572" i="2"/>
  <c r="C577" i="2" s="1"/>
  <c r="I572" i="2"/>
  <c r="C578" i="2" s="1"/>
  <c r="A579" i="2"/>
  <c r="B579" i="2"/>
  <c r="D579" i="2"/>
  <c r="C580" i="2" s="1"/>
  <c r="E579" i="2"/>
  <c r="C581" i="2" s="1"/>
  <c r="F579" i="2"/>
  <c r="C582" i="2" s="1"/>
  <c r="G579" i="2"/>
  <c r="C583" i="2" s="1"/>
  <c r="H579" i="2"/>
  <c r="C584" i="2" s="1"/>
  <c r="I579" i="2"/>
  <c r="C585" i="2" s="1"/>
  <c r="A586" i="2"/>
  <c r="B586" i="2"/>
  <c r="D586" i="2"/>
  <c r="C587" i="2" s="1"/>
  <c r="E586" i="2"/>
  <c r="C588" i="2" s="1"/>
  <c r="F586" i="2"/>
  <c r="C589" i="2" s="1"/>
  <c r="G586" i="2"/>
  <c r="C590" i="2" s="1"/>
  <c r="H586" i="2"/>
  <c r="C591" i="2" s="1"/>
  <c r="I586" i="2"/>
  <c r="C592" i="2" s="1"/>
  <c r="A593" i="2"/>
  <c r="B593" i="2"/>
  <c r="D593" i="2"/>
  <c r="C594" i="2" s="1"/>
  <c r="E593" i="2"/>
  <c r="C595" i="2" s="1"/>
  <c r="F593" i="2"/>
  <c r="C596" i="2" s="1"/>
  <c r="G593" i="2"/>
  <c r="C597" i="2" s="1"/>
  <c r="H593" i="2"/>
  <c r="C598" i="2" s="1"/>
  <c r="I593" i="2"/>
  <c r="C599" i="2" s="1"/>
  <c r="A19" i="2"/>
  <c r="B19" i="2"/>
  <c r="D19" i="2"/>
  <c r="C20" i="2" s="1"/>
  <c r="E19" i="2"/>
  <c r="C21" i="2" s="1"/>
  <c r="F19" i="2"/>
  <c r="C22" i="2" s="1"/>
  <c r="G19" i="2"/>
  <c r="C23" i="2" s="1"/>
  <c r="H19" i="2"/>
  <c r="C24" i="2" s="1"/>
  <c r="I19" i="2"/>
  <c r="C25" i="2" s="1"/>
  <c r="A26" i="2"/>
  <c r="B26" i="2"/>
  <c r="D26" i="2"/>
  <c r="C27" i="2" s="1"/>
  <c r="E26" i="2"/>
  <c r="C28" i="2" s="1"/>
  <c r="F26" i="2"/>
  <c r="C29" i="2" s="1"/>
  <c r="G26" i="2"/>
  <c r="C30" i="2" s="1"/>
  <c r="H26" i="2"/>
  <c r="C31" i="2" s="1"/>
  <c r="I26" i="2"/>
  <c r="C32" i="2" s="1"/>
  <c r="A33" i="2"/>
  <c r="B33" i="2"/>
  <c r="D33" i="2"/>
  <c r="C34" i="2" s="1"/>
  <c r="E33" i="2"/>
  <c r="C35" i="2" s="1"/>
  <c r="F33" i="2"/>
  <c r="C36" i="2" s="1"/>
  <c r="G33" i="2"/>
  <c r="C37" i="2" s="1"/>
  <c r="H33" i="2"/>
  <c r="C38" i="2" s="1"/>
  <c r="I33" i="2"/>
  <c r="C39" i="2" s="1"/>
  <c r="D12" i="2"/>
  <c r="C13" i="2" s="1"/>
  <c r="E12" i="2"/>
  <c r="C14" i="2" s="1"/>
  <c r="F12" i="2"/>
  <c r="C15" i="2" s="1"/>
  <c r="G12" i="2"/>
  <c r="C16" i="2" s="1"/>
  <c r="H12" i="2"/>
  <c r="C17" i="2" s="1"/>
  <c r="I12" i="2"/>
  <c r="C18" i="2" s="1"/>
  <c r="B12" i="2"/>
  <c r="A12" i="2"/>
  <c r="I5" i="2"/>
  <c r="C11" i="2" s="1"/>
  <c r="H5" i="2"/>
  <c r="C10" i="2" s="1"/>
  <c r="E5" i="2"/>
  <c r="C7" i="2" s="1"/>
  <c r="F5" i="2"/>
  <c r="C8" i="2" s="1"/>
  <c r="G5" i="2"/>
  <c r="C9" i="2" s="1"/>
  <c r="D5" i="2"/>
  <c r="C6" i="2" s="1"/>
  <c r="B5" i="2"/>
  <c r="A5" i="2"/>
  <c r="C54" i="2" l="1"/>
  <c r="C145" i="2"/>
  <c r="C187" i="2"/>
  <c r="C61" i="2"/>
  <c r="C157" i="2"/>
  <c r="C355" i="2"/>
  <c r="C229" i="2"/>
  <c r="C299" i="2"/>
  <c r="C75" i="2"/>
  <c r="C572" i="2"/>
  <c r="C453" i="2"/>
  <c r="C68" i="2"/>
  <c r="C460" i="2"/>
  <c r="C530" i="2"/>
  <c r="C348" i="2"/>
  <c r="C250" i="2"/>
  <c r="C236" i="2"/>
  <c r="C12" i="2"/>
  <c r="C579" i="2"/>
  <c r="C166" i="2"/>
  <c r="C369" i="2"/>
  <c r="C138" i="2"/>
  <c r="C439" i="2"/>
  <c r="C523" i="2"/>
  <c r="C341" i="2"/>
  <c r="C327" i="2"/>
  <c r="C516" i="2"/>
  <c r="C474" i="2"/>
  <c r="C131" i="2"/>
  <c r="C117" i="2"/>
  <c r="C278" i="2"/>
  <c r="C411" i="2"/>
  <c r="C124" i="2"/>
  <c r="C257" i="2"/>
  <c r="C418" i="2"/>
  <c r="C404" i="2"/>
  <c r="C565" i="2"/>
  <c r="C551" i="2"/>
  <c r="C243" i="2"/>
  <c r="C110" i="2"/>
  <c r="C362" i="2"/>
  <c r="C467" i="2"/>
  <c r="C33" i="2"/>
  <c r="C82" i="2"/>
  <c r="C19" i="2"/>
  <c r="C586" i="2"/>
  <c r="C215" i="2"/>
  <c r="C201" i="2"/>
  <c r="C306" i="2"/>
  <c r="C292" i="2"/>
  <c r="C397" i="2"/>
  <c r="C502" i="2"/>
  <c r="C488" i="2"/>
  <c r="C40" i="2"/>
  <c r="C103" i="2"/>
  <c r="C89" i="2"/>
  <c r="C593" i="2"/>
  <c r="C194" i="2"/>
  <c r="C180" i="2"/>
  <c r="C285" i="2"/>
  <c r="C390" i="2"/>
  <c r="C376" i="2"/>
  <c r="C481" i="2"/>
  <c r="C47" i="2"/>
  <c r="C537" i="2"/>
  <c r="C446" i="2"/>
  <c r="C432" i="2"/>
  <c r="C509" i="2"/>
  <c r="C313" i="2"/>
  <c r="C222" i="2"/>
  <c r="C495" i="2"/>
  <c r="C208" i="2"/>
  <c r="C96" i="2"/>
  <c r="C173" i="2"/>
  <c r="C159" i="2"/>
  <c r="C271" i="2"/>
  <c r="C544" i="2"/>
  <c r="C383" i="2"/>
  <c r="C264" i="2"/>
  <c r="C152" i="2"/>
  <c r="C558" i="2"/>
  <c r="C26" i="2"/>
  <c r="C425" i="2"/>
  <c r="C334" i="2"/>
  <c r="C320" i="2"/>
  <c r="C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 authorId="0" shapeId="0" xr:uid="{00000000-0006-0000-0100-000001000000}">
      <text>
        <r>
          <rPr>
            <b/>
            <sz val="9"/>
            <color indexed="81"/>
            <rFont val="Tahoma"/>
            <family val="2"/>
          </rPr>
          <t>user:</t>
        </r>
        <r>
          <rPr>
            <sz val="9"/>
            <color indexed="81"/>
            <rFont val="Tahoma"/>
            <family val="2"/>
          </rPr>
          <t xml:space="preserve">
1.</t>
        </r>
        <r>
          <rPr>
            <sz val="9"/>
            <color indexed="81"/>
            <rFont val="細明體"/>
            <family val="3"/>
            <charset val="136"/>
          </rPr>
          <t xml:space="preserve">選取將本欄，複製。
</t>
        </r>
        <r>
          <rPr>
            <sz val="9"/>
            <color indexed="81"/>
            <rFont val="Tahoma"/>
            <family val="2"/>
          </rPr>
          <t>2.</t>
        </r>
        <r>
          <rPr>
            <sz val="9"/>
            <color indexed="81"/>
            <rFont val="細明體"/>
            <family val="3"/>
            <charset val="136"/>
          </rPr>
          <t>打開「</t>
        </r>
        <r>
          <rPr>
            <sz val="9"/>
            <color indexed="81"/>
            <rFont val="Tahoma"/>
            <family val="2"/>
          </rPr>
          <t>02-</t>
        </r>
        <r>
          <rPr>
            <sz val="9"/>
            <color indexed="81"/>
            <rFont val="細明體"/>
            <family val="3"/>
            <charset val="136"/>
          </rPr>
          <t>讀給你聽</t>
        </r>
        <r>
          <rPr>
            <sz val="9"/>
            <color indexed="81"/>
            <rFont val="Tahoma"/>
            <family val="2"/>
          </rPr>
          <t>-UAV</t>
        </r>
        <r>
          <rPr>
            <sz val="9"/>
            <color indexed="81"/>
            <rFont val="細明體"/>
            <family val="3"/>
            <charset val="136"/>
          </rPr>
          <t>普科題庫</t>
        </r>
        <r>
          <rPr>
            <sz val="9"/>
            <color indexed="81"/>
            <rFont val="Tahoma"/>
            <family val="2"/>
          </rPr>
          <t>_</t>
        </r>
        <r>
          <rPr>
            <sz val="9"/>
            <color indexed="81"/>
            <rFont val="細明體"/>
            <family val="3"/>
            <charset val="136"/>
          </rPr>
          <t>第二章：基礎飛行原理</t>
        </r>
        <r>
          <rPr>
            <sz val="9"/>
            <color indexed="81"/>
            <rFont val="Tahoma"/>
            <family val="2"/>
          </rPr>
          <t>.txt</t>
        </r>
        <r>
          <rPr>
            <sz val="9"/>
            <color indexed="81"/>
            <rFont val="細明體"/>
            <family val="3"/>
            <charset val="136"/>
          </rPr>
          <t xml:space="preserve">」，全選、剛除。
</t>
        </r>
        <r>
          <rPr>
            <sz val="9"/>
            <color indexed="81"/>
            <rFont val="Tahoma"/>
            <family val="2"/>
          </rPr>
          <t>3.</t>
        </r>
        <r>
          <rPr>
            <sz val="9"/>
            <color indexed="81"/>
            <rFont val="細明體"/>
            <family val="3"/>
            <charset val="136"/>
          </rPr>
          <t xml:space="preserve">貼上。
</t>
        </r>
        <r>
          <rPr>
            <sz val="9"/>
            <color indexed="81"/>
            <rFont val="Tahoma"/>
            <family val="2"/>
          </rPr>
          <t>4.</t>
        </r>
        <r>
          <rPr>
            <sz val="9"/>
            <color indexed="81"/>
            <rFont val="細明體"/>
            <family val="3"/>
            <charset val="136"/>
          </rPr>
          <t xml:space="preserve">存檔、離開。
</t>
        </r>
        <r>
          <rPr>
            <sz val="9"/>
            <color indexed="81"/>
            <rFont val="Tahoma"/>
            <family val="2"/>
          </rPr>
          <t>5.</t>
        </r>
        <r>
          <rPr>
            <sz val="9"/>
            <color indexed="81"/>
            <rFont val="細明體"/>
            <family val="3"/>
            <charset val="136"/>
          </rPr>
          <t>將「</t>
        </r>
        <r>
          <rPr>
            <sz val="9"/>
            <color indexed="81"/>
            <rFont val="Tahoma"/>
            <family val="2"/>
          </rPr>
          <t>02-</t>
        </r>
        <r>
          <rPr>
            <sz val="9"/>
            <color indexed="81"/>
            <rFont val="細明體"/>
            <family val="3"/>
            <charset val="136"/>
          </rPr>
          <t>讀給你聽</t>
        </r>
        <r>
          <rPr>
            <sz val="9"/>
            <color indexed="81"/>
            <rFont val="Tahoma"/>
            <family val="2"/>
          </rPr>
          <t>-UAV</t>
        </r>
        <r>
          <rPr>
            <sz val="9"/>
            <color indexed="81"/>
            <rFont val="細明體"/>
            <family val="3"/>
            <charset val="136"/>
          </rPr>
          <t>普科題庫</t>
        </r>
        <r>
          <rPr>
            <sz val="9"/>
            <color indexed="81"/>
            <rFont val="Tahoma"/>
            <family val="2"/>
          </rPr>
          <t>_</t>
        </r>
        <r>
          <rPr>
            <sz val="9"/>
            <color indexed="81"/>
            <rFont val="細明體"/>
            <family val="3"/>
            <charset val="136"/>
          </rPr>
          <t>第二章：基礎飛行原理</t>
        </r>
        <r>
          <rPr>
            <sz val="9"/>
            <color indexed="81"/>
            <rFont val="Tahoma"/>
            <family val="2"/>
          </rPr>
          <t>.txt</t>
        </r>
        <r>
          <rPr>
            <sz val="9"/>
            <color indexed="81"/>
            <rFont val="細明體"/>
            <family val="3"/>
            <charset val="136"/>
          </rPr>
          <t>」上傳至</t>
        </r>
        <r>
          <rPr>
            <sz val="9"/>
            <color indexed="81"/>
            <rFont val="Tahoma"/>
            <family val="2"/>
          </rPr>
          <t xml:space="preserve"> LINE </t>
        </r>
        <r>
          <rPr>
            <sz val="9"/>
            <color indexed="81"/>
            <rFont val="細明體"/>
            <family val="3"/>
            <charset val="136"/>
          </rPr>
          <t>的</t>
        </r>
        <r>
          <rPr>
            <sz val="9"/>
            <color indexed="81"/>
            <rFont val="Tahoma"/>
            <family val="2"/>
          </rPr>
          <t xml:space="preserve"> </t>
        </r>
        <r>
          <rPr>
            <sz val="9"/>
            <color indexed="81"/>
            <rFont val="細明體"/>
            <family val="3"/>
            <charset val="136"/>
          </rPr>
          <t>「</t>
        </r>
        <r>
          <rPr>
            <sz val="9"/>
            <color indexed="81"/>
            <rFont val="Tahoma"/>
            <family val="2"/>
          </rPr>
          <t>Amo</t>
        </r>
        <r>
          <rPr>
            <sz val="9"/>
            <color indexed="81"/>
            <rFont val="細明體"/>
            <family val="3"/>
            <charset val="136"/>
          </rPr>
          <t>無人機</t>
        </r>
        <r>
          <rPr>
            <sz val="9"/>
            <color indexed="81"/>
            <rFont val="Tahoma"/>
            <family val="2"/>
          </rPr>
          <t>UAV</t>
        </r>
        <r>
          <rPr>
            <sz val="9"/>
            <color indexed="81"/>
            <rFont val="細明體"/>
            <family val="3"/>
            <charset val="136"/>
          </rPr>
          <t xml:space="preserve">」群組。
</t>
        </r>
        <r>
          <rPr>
            <sz val="9"/>
            <color indexed="81"/>
            <rFont val="Tahoma"/>
            <family val="2"/>
          </rPr>
          <t>6.(</t>
        </r>
        <r>
          <rPr>
            <sz val="9"/>
            <color indexed="81"/>
            <rFont val="細明體"/>
            <family val="3"/>
            <charset val="136"/>
          </rPr>
          <t>手機</t>
        </r>
        <r>
          <rPr>
            <sz val="9"/>
            <color indexed="81"/>
            <rFont val="Tahoma"/>
            <family val="2"/>
          </rPr>
          <t xml:space="preserve"> LINE </t>
        </r>
        <r>
          <rPr>
            <sz val="9"/>
            <color indexed="81"/>
            <rFont val="細明體"/>
            <family val="3"/>
            <charset val="136"/>
          </rPr>
          <t>群組上</t>
        </r>
        <r>
          <rPr>
            <sz val="9"/>
            <color indexed="81"/>
            <rFont val="Tahoma"/>
            <family val="2"/>
          </rPr>
          <t xml:space="preserve">) </t>
        </r>
        <r>
          <rPr>
            <sz val="9"/>
            <color indexed="81"/>
            <rFont val="細明體"/>
            <family val="3"/>
            <charset val="136"/>
          </rPr>
          <t>打開本檔，再打開</t>
        </r>
        <r>
          <rPr>
            <sz val="9"/>
            <color indexed="81"/>
            <rFont val="Tahoma"/>
            <family val="2"/>
          </rPr>
          <t xml:space="preserve"> iPhone </t>
        </r>
        <r>
          <rPr>
            <sz val="9"/>
            <color indexed="81"/>
            <rFont val="細明體"/>
            <family val="3"/>
            <charset val="136"/>
          </rPr>
          <t>營幕朗讀。</t>
        </r>
      </text>
    </comment>
  </commentList>
</comments>
</file>

<file path=xl/sharedStrings.xml><?xml version="1.0" encoding="utf-8"?>
<sst xmlns="http://schemas.openxmlformats.org/spreadsheetml/2006/main" count="1560" uniqueCount="1002">
  <si>
    <t>題號</t>
  </si>
  <si>
    <t>題目</t>
  </si>
  <si>
    <t>A</t>
  </si>
  <si>
    <t>B</t>
  </si>
  <si>
    <t>C</t>
  </si>
  <si>
    <t>D</t>
  </si>
  <si>
    <t>答案</t>
  </si>
  <si>
    <t>題解</t>
  </si>
  <si>
    <t>1</t>
  </si>
  <si>
    <t>以上皆是。</t>
  </si>
  <si>
    <t>2</t>
  </si>
  <si>
    <t>3</t>
  </si>
  <si>
    <t>4</t>
  </si>
  <si>
    <t>5</t>
  </si>
  <si>
    <t>6</t>
  </si>
  <si>
    <t>7</t>
  </si>
  <si>
    <t>8</t>
  </si>
  <si>
    <t>9</t>
  </si>
  <si>
    <t>10</t>
  </si>
  <si>
    <t>11</t>
  </si>
  <si>
    <t>12</t>
  </si>
  <si>
    <t>13</t>
  </si>
  <si>
    <t>14</t>
  </si>
  <si>
    <t>15</t>
  </si>
  <si>
    <t>16</t>
  </si>
  <si>
    <t>17</t>
  </si>
  <si>
    <t>18</t>
  </si>
  <si>
    <t>以上皆非。</t>
  </si>
  <si>
    <t>19</t>
  </si>
  <si>
    <t>20</t>
  </si>
  <si>
    <t>21</t>
  </si>
  <si>
    <t>22</t>
  </si>
  <si>
    <t>23</t>
  </si>
  <si>
    <t>24</t>
  </si>
  <si>
    <t>25</t>
  </si>
  <si>
    <t>26</t>
  </si>
  <si>
    <t>27</t>
  </si>
  <si>
    <t>28</t>
  </si>
  <si>
    <t>29</t>
  </si>
  <si>
    <t>30</t>
  </si>
  <si>
    <t>31</t>
  </si>
  <si>
    <t>光學酬載。</t>
  </si>
  <si>
    <t>32</t>
  </si>
  <si>
    <t>33</t>
  </si>
  <si>
    <t>34</t>
  </si>
  <si>
    <t>35</t>
  </si>
  <si>
    <t>36</t>
  </si>
  <si>
    <t>37</t>
  </si>
  <si>
    <t>38</t>
  </si>
  <si>
    <t>39</t>
  </si>
  <si>
    <t>40</t>
  </si>
  <si>
    <t>41</t>
  </si>
  <si>
    <t>42</t>
  </si>
  <si>
    <t>43</t>
  </si>
  <si>
    <t>44</t>
  </si>
  <si>
    <t>45</t>
  </si>
  <si>
    <t>46</t>
  </si>
  <si>
    <t>47</t>
  </si>
  <si>
    <t>48</t>
  </si>
  <si>
    <t>49</t>
  </si>
  <si>
    <t>50</t>
  </si>
  <si>
    <t>51</t>
  </si>
  <si>
    <t>通訊及控制信號鏈路。</t>
  </si>
  <si>
    <t>52</t>
  </si>
  <si>
    <t>53</t>
  </si>
  <si>
    <t>54</t>
  </si>
  <si>
    <t>55</t>
  </si>
  <si>
    <t>無人飛機。</t>
  </si>
  <si>
    <t>無人直昇機。</t>
  </si>
  <si>
    <t>無人多旋翼機。</t>
  </si>
  <si>
    <t>56</t>
  </si>
  <si>
    <t>57</t>
  </si>
  <si>
    <t>58</t>
  </si>
  <si>
    <t>59</t>
  </si>
  <si>
    <t>60</t>
  </si>
  <si>
    <t>61</t>
  </si>
  <si>
    <t>62</t>
  </si>
  <si>
    <t>63</t>
  </si>
  <si>
    <t>64</t>
  </si>
  <si>
    <t>65</t>
  </si>
  <si>
    <t>66</t>
  </si>
  <si>
    <t>以上皆可。</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</si>
  <si>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</si>
  <si>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</si>
  <si>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</si>
  <si>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</si>
  <si>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</si>
  <si>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</si>
  <si>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</si>
  <si>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</si>
  <si>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</si>
  <si>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</si>
  <si>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</si>
  <si>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</si>
  <si>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</si>
  <si>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</si>
  <si>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</si>
  <si>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</si>
  <si>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</si>
  <si>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</si>
  <si>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</si>
  <si>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</si>
  <si>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</si>
  <si>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</si>
  <si>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</si>
  <si>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</si>
  <si>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</si>
  <si>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Question</t>
    <phoneticPr fontId="1" type="noConversion"/>
  </si>
  <si>
    <t>A</t>
    <phoneticPr fontId="1" type="noConversion"/>
  </si>
  <si>
    <t>B</t>
    <phoneticPr fontId="1" type="noConversion"/>
  </si>
  <si>
    <t>C</t>
    <phoneticPr fontId="1" type="noConversion"/>
  </si>
  <si>
    <t>D</t>
    <phoneticPr fontId="1" type="noConversion"/>
  </si>
  <si>
    <t>"="答案是： "&amp;IF(G2="A",1,IF(G2="B",2,IF(G2="C",3,IF(G2=("D"),4,"XXXX"))))"</t>
    <phoneticPr fontId="1" type="noConversion"/>
  </si>
  <si>
    <t>Note</t>
    <phoneticPr fontId="1" type="noConversion"/>
  </si>
  <si>
    <t xml:space="preserve">    </t>
    <phoneticPr fontId="1" type="noConversion"/>
  </si>
  <si>
    <t>遙控無人機系統包含下列哪項主要次系統</t>
  </si>
  <si>
    <t>遙控無人機體。</t>
  </si>
  <si>
    <t>遙控設備。</t>
  </si>
  <si>
    <t>遙控無人機系統之飛行載具,包括下列哪些項目</t>
  </si>
  <si>
    <t>機體、負載設備及酬載。</t>
  </si>
  <si>
    <t>機體、燃料或電池。</t>
  </si>
  <si>
    <t>機體、燃料或電池、負載設備及酬載。</t>
  </si>
  <si>
    <t>機體、燃料或電池、負載設備及酬載、遙控設備。</t>
  </si>
  <si>
    <t>遙控無人機系統之地面控制站的硬體設備,包括下列哪個項目</t>
  </si>
  <si>
    <t>訊號傳輸設備。</t>
  </si>
  <si>
    <t>指令傳輸設備。</t>
  </si>
  <si>
    <t>資訊接收分析設備。</t>
  </si>
  <si>
    <t>遙控無人飛機起飛時,除跑道起飛外,還可運用下列哪項裝置</t>
  </si>
  <si>
    <t>火箭助推。</t>
  </si>
  <si>
    <t>彈射軌道發射。</t>
  </si>
  <si>
    <t>人力拋擲。</t>
  </si>
  <si>
    <t>固定翼無人飛機在沒有足夠跑道環境下，可視機型大小與設計，運用人力手拋(小型機)、彈射發射架(中型機)或火箭助推器(大型或軍用機)等多元手段離地升空。</t>
  </si>
  <si>
    <t>遙控無人飛機降落時,除跑道降落外,也可運用下列哪項方式</t>
  </si>
  <si>
    <t>攔截網。</t>
  </si>
  <si>
    <t>纜線勾鎖。</t>
  </si>
  <si>
    <t>降落傘。</t>
  </si>
  <si>
    <t>針對無跑道環境，固定翼遙控無人飛機可配置降落傘強制減速下落，或利用地面攔截網、機腹勾鎖天線/纜線等非傳統跑道滑行方式安全著陸。</t>
  </si>
  <si>
    <t>遙控無人機許多層面都還是要由人員來掌握及操控,所以下列哪個因素在整體飛行過程中佔了很重要的一部分</t>
  </si>
  <si>
    <t>人為因素。</t>
  </si>
  <si>
    <t>運氣因素。</t>
  </si>
  <si>
    <t>社會因素。</t>
  </si>
  <si>
    <t>歷史因素。</t>
  </si>
  <si>
    <t>完整之飛控系統包括下列哪個部分</t>
  </si>
  <si>
    <t>感測器。</t>
  </si>
  <si>
    <t>機載計算機。</t>
  </si>
  <si>
    <t>伺服器。</t>
  </si>
  <si>
    <t>完整之飛控系統可實現遙控無人機下列哪項功能</t>
  </si>
  <si>
    <t>姿態穩定和控制。</t>
  </si>
  <si>
    <t>任務管理。</t>
  </si>
  <si>
    <t>緊急控制模式。</t>
  </si>
  <si>
    <t>現代飛控系統不僅能進行底層的姿態穩定控制，還具備高層的自主航線等任務管理，以及在斷訊或低電量時觸發失控返航、自動降落等緊急控制模式。</t>
  </si>
  <si>
    <t>下列哪個是飛行控制系統的輸入裝置,用以保持控制精度</t>
  </si>
  <si>
    <t>導航系統提供遙控無人機哪項資訊</t>
  </si>
  <si>
    <t>位置。</t>
  </si>
  <si>
    <t>速度。</t>
  </si>
  <si>
    <t>飛行姿態。</t>
  </si>
  <si>
    <t>導航系統的基本任務是解決「我在哪裡(位置)、往哪去、有多快(速度)以及當前經緯度與三維空間方位(姿態)」等核心飛航三維狀態資訊。</t>
  </si>
  <si>
    <t>遙控無人機導航系統主要分為下列哪兩種</t>
  </si>
  <si>
    <t>非自主(如GPS)和自主(慣性導航)。</t>
  </si>
  <si>
    <t>高精度和一般精度。</t>
  </si>
  <si>
    <t>高抗干擾和低抗干擾。</t>
  </si>
  <si>
    <t>全自動和半自動。</t>
  </si>
  <si>
    <t>遙控無人機非自主(如GPS)導航系統有下列哪個缺點</t>
  </si>
  <si>
    <t>操作困難。</t>
  </si>
  <si>
    <t>易受干擾。</t>
  </si>
  <si>
    <t>誤差積累增大。</t>
  </si>
  <si>
    <t>遙控無人機自主(慣性導航)導航系統有下列哪個缺點</t>
  </si>
  <si>
    <t>遙控無人機將朝向下列哪個方向繼續發展</t>
  </si>
  <si>
    <t>高精度。</t>
  </si>
  <si>
    <t>高可靠度。</t>
  </si>
  <si>
    <t>高抗干擾。</t>
  </si>
  <si>
    <t>遙控無人機導航與自動避讓系統的發展,包括下列哪項重點</t>
  </si>
  <si>
    <t>慣性導航。</t>
  </si>
  <si>
    <t>多感應器融合、GPS。</t>
  </si>
  <si>
    <t>光電系統技術整合。</t>
  </si>
  <si>
    <t>遙控無人機的動力系統,都朝向下列哪個方向發展</t>
  </si>
  <si>
    <t>體積小、重量輕。</t>
  </si>
  <si>
    <t>成本低。</t>
  </si>
  <si>
    <t>可靠度高。</t>
  </si>
  <si>
    <t>遙控無人機的能量來源可以包括下列哪項</t>
  </si>
  <si>
    <t>太陽能。</t>
  </si>
  <si>
    <t>氫能。</t>
  </si>
  <si>
    <t>鋰電池。</t>
  </si>
  <si>
    <t>負責對遙控無人機之命令與控制、資料鏈路等工作的,是下列哪個系統</t>
  </si>
  <si>
    <t>動力系統。</t>
  </si>
  <si>
    <t>無線通訊系統。</t>
  </si>
  <si>
    <t>導航系統。</t>
  </si>
  <si>
    <t>飛行控制系統。</t>
  </si>
  <si>
    <t>遙控無人機控制鏈路為保密與抗干擾基本上已全面採行下列哪種方式</t>
  </si>
  <si>
    <t>類比化。</t>
  </si>
  <si>
    <t>模組化。</t>
  </si>
  <si>
    <t>數位化。</t>
  </si>
  <si>
    <t>離散化。</t>
  </si>
  <si>
    <t>遙控無人機的圖傳主要資料傳輸形態有下列哪幾種方式</t>
  </si>
  <si>
    <t>高速、寬頻。</t>
  </si>
  <si>
    <t>類比、數位。</t>
  </si>
  <si>
    <t>單工、衛星。</t>
  </si>
  <si>
    <t>雙工、衛星。</t>
  </si>
  <si>
    <t>遙控無人機的通訊技術朝向下列哪個方向發展</t>
  </si>
  <si>
    <t>保密。</t>
  </si>
  <si>
    <t>抗干擾。</t>
  </si>
  <si>
    <t>隨著機載感測器精度和任務複雜度的上升,機載處理器的下列哪項需求也將隨之提高</t>
  </si>
  <si>
    <t>運算需求。</t>
  </si>
  <si>
    <t>保密需求。</t>
  </si>
  <si>
    <t>抗干擾需求。</t>
  </si>
  <si>
    <t>重量需求。</t>
  </si>
  <si>
    <t>所謂航空器,係指任何藉空氣之下列哪種力,得以飛航於大氣中之器物</t>
  </si>
  <si>
    <t>摩擦力。</t>
  </si>
  <si>
    <t>靜電力。</t>
  </si>
  <si>
    <t>反作用力。</t>
  </si>
  <si>
    <t>遙控無人機比空氣重,無法只藉由空氣的浮力而上升,需要相對應的下列哪個項目在空中飛行</t>
  </si>
  <si>
    <t>能量。</t>
  </si>
  <si>
    <t>機身外表顏色。</t>
  </si>
  <si>
    <t>起落架材質。</t>
  </si>
  <si>
    <t>航空器利用噴射推力或是螺旋槳的拉力,使航空器產生下列哪種力而在空中飛行</t>
  </si>
  <si>
    <t>內力。</t>
  </si>
  <si>
    <t>升力。</t>
  </si>
  <si>
    <t>彈力。</t>
  </si>
  <si>
    <t>飛行速度快、酬載大、飛行效率高,不需太複雜控制,就可自行抵抗氣流而自行保持穩定的飛行的遙控無人機,是下列哪種遙控無人機</t>
  </si>
  <si>
    <t>遙控無人直昇機。</t>
  </si>
  <si>
    <t>遙控無人飛機。</t>
  </si>
  <si>
    <t>遙控無人多旋翼機。</t>
  </si>
  <si>
    <t>遙控無人飛機缺點是需要有下列哪個項目供起降之用</t>
  </si>
  <si>
    <t>相當的跑道高度。</t>
  </si>
  <si>
    <t>相當的跑道溫度。</t>
  </si>
  <si>
    <t>相當的跑道長度。</t>
  </si>
  <si>
    <t>透過旋翼槳葉產生升力,同時也能產生推力的遙控無人機,是下列哪種遙控無人機</t>
  </si>
  <si>
    <t>遙控無人飛機.</t>
  </si>
  <si>
    <t>自由調整姿態。</t>
  </si>
  <si>
    <t>定點盤旋。</t>
  </si>
  <si>
    <t>起飛與落地。</t>
  </si>
  <si>
    <t>透過三個以上垂直旋翼間協調來控制姿態,同樣不需跑道,可垂直起降、空中懸停等的遙控無人機,是下列哪種遙控無人機</t>
  </si>
  <si>
    <t>操作人只要在遙控設備上施加桿力,就可改變遙控無人機的下列哪些性能</t>
  </si>
  <si>
    <t>重量或重心。</t>
  </si>
  <si>
    <t>外形或顏色。</t>
  </si>
  <si>
    <t>方向或速度。</t>
  </si>
  <si>
    <t>翼展與翼弦。</t>
  </si>
  <si>
    <t>若無人飛機在地面上靜止,依牛頓運動定律,下列哪個特性會使得飛機保持靜止</t>
  </si>
  <si>
    <t>慣性。</t>
  </si>
  <si>
    <t>磁性。</t>
  </si>
  <si>
    <t>氣壓。</t>
  </si>
  <si>
    <t>空氣濕度。</t>
  </si>
  <si>
    <t>無人飛機於頂風飛行時,地面速度就會有下列哪種變化</t>
  </si>
  <si>
    <t>變快。</t>
  </si>
  <si>
    <t>不變。</t>
  </si>
  <si>
    <t>變慢。</t>
  </si>
  <si>
    <t>若風從無人飛機前方的任一方向吹來,倘若飛行員沒有隨之修正,那下列哪個特性就會受到風所施加的力而改變</t>
  </si>
  <si>
    <t>重量。</t>
  </si>
  <si>
    <t>重心。</t>
  </si>
  <si>
    <t>航向。</t>
  </si>
  <si>
    <t>推力。</t>
  </si>
  <si>
    <t>噴射機將燃燒的熱氣體往後推送以施加作用力,相對的有相等且相反的下列哪種力,將飛機往前推進</t>
  </si>
  <si>
    <t>磁力。</t>
  </si>
  <si>
    <t>遙控無人機在空中飛行時,會受到下列哪些力相互作用的影響</t>
  </si>
  <si>
    <t>升力、推力。</t>
  </si>
  <si>
    <t>推力、阻力。</t>
  </si>
  <si>
    <t>阻力、重力。</t>
  </si>
  <si>
    <t>以上皆死。</t>
  </si>
  <si>
    <t>無人飛機推力由下列哪個組件提供</t>
  </si>
  <si>
    <t>發動機。</t>
  </si>
  <si>
    <t>起落架。</t>
  </si>
  <si>
    <t>機翼。</t>
  </si>
  <si>
    <t>機身。</t>
  </si>
  <si>
    <t>無人飛機阻力由下列哪個項目產生</t>
  </si>
  <si>
    <t>地心引力。</t>
  </si>
  <si>
    <t>空氣。</t>
  </si>
  <si>
    <t>無人飛機升力由下列哪個項目提供</t>
  </si>
  <si>
    <t>重力由下列哪個項目產生</t>
  </si>
  <si>
    <t>飛機等速直線飛行時,縱軸(X軸)方向阻力與推力大小相同方向相反,所以有下列哪種情況</t>
  </si>
  <si>
    <t>橫軸(Y軸)方向合力為零,飛機無升降起伏。</t>
  </si>
  <si>
    <t>垂直軸(Z軸)方向合力為零,飛機無偏航的姿態。</t>
  </si>
  <si>
    <t>縱軸(X軸)方向合力為零,飛機速度不變。</t>
  </si>
  <si>
    <t>飛機高度保持時,垂直軸(Z軸)方向升力與重力大小相同方向相反,所以有下列哪種情況</t>
  </si>
  <si>
    <t>橫軸(Y軸)方向合力為零,飛機無偏航的姿態。</t>
  </si>
  <si>
    <t>垂直軸(Z軸)方向合力為零,飛機無升降起伏。</t>
  </si>
  <si>
    <t>連續性定理闡述了流體在流動中,下列哪些項目之間的關係</t>
  </si>
  <si>
    <t>流速和管道切面。</t>
  </si>
  <si>
    <t>流速和溫度。</t>
  </si>
  <si>
    <t>管道切面和溫度。</t>
  </si>
  <si>
    <t>溫度和壓力。</t>
  </si>
  <si>
    <t>連續性定理闡述了流體在流動中,流速和管道切面相關,而且下列哪些項目也相關</t>
  </si>
  <si>
    <t>流速和壓力。</t>
  </si>
  <si>
    <t>柏努利定律說明流體在一個管道中流動時,有下列哪種現象</t>
  </si>
  <si>
    <t>流速大的地方壓力大,流速小的地方壓力小。</t>
  </si>
  <si>
    <t>流速大的地方壓力大,流速小的地方壓力也大。</t>
  </si>
  <si>
    <t>流速大的地方壓力小,流速小的地方壓力大。</t>
  </si>
  <si>
    <t>流速大的地方壓力小,流速小的地方壓力也小。</t>
  </si>
  <si>
    <t>柏努利定律目的是要闡述流體在流動中時,下列哪些項目間的關係</t>
  </si>
  <si>
    <t>柏努利定律中提到,如果流體的速度越快,流體中的壓力就會有下列哪種現象</t>
  </si>
  <si>
    <t>越小。</t>
  </si>
  <si>
    <t>越大。</t>
  </si>
  <si>
    <t>有時越小有時越大。</t>
  </si>
  <si>
    <t>遙控無人機的機翼或旋翼是下列哪種外力主要產生的地方</t>
  </si>
  <si>
    <t>阻力。</t>
  </si>
  <si>
    <t>重力。</t>
  </si>
  <si>
    <t>基於連續性定理、柏努利定律兩個理論,我們可以知道機翼上、下表面會出現下列哪種現象</t>
  </si>
  <si>
    <t>溫度差。</t>
  </si>
  <si>
    <t>壓力差。</t>
  </si>
  <si>
    <t>濕度差。</t>
  </si>
  <si>
    <t>比熱差。</t>
  </si>
  <si>
    <t>垂直於相對氣流方向的壓力差之總和就是下列哪種外力</t>
  </si>
  <si>
    <t>槳葉本身的攻角設計。</t>
  </si>
  <si>
    <t>空氣的阻力。</t>
  </si>
  <si>
    <t>機翼的升力。</t>
  </si>
  <si>
    <t>螺旋槳產生的推力是藉由下列哪個項目而成</t>
  </si>
  <si>
    <t>螺旋槳轉速。</t>
  </si>
  <si>
    <t>螺旋槳轉速通常以下列哪個項目來表示</t>
  </si>
  <si>
    <t>每分鐘轉數(RPM)。</t>
  </si>
  <si>
    <t>赫茲(Hz)。</t>
  </si>
  <si>
    <t>一般螺旋槳攻角最大的位置在槳葉的下列哪個位置</t>
  </si>
  <si>
    <t>槳葉根部。</t>
  </si>
  <si>
    <t>槳葉葉尖。</t>
  </si>
  <si>
    <t>槳葉中尖。</t>
  </si>
  <si>
    <t>飛機螺旋槳在原廠設計時,為了設計出高效率的槳葉角度,係依據發動機及飛機的下列哪些特性做為基礎</t>
  </si>
  <si>
    <t>銷量和價格。</t>
  </si>
  <si>
    <t>耗油量和扭力。</t>
  </si>
  <si>
    <t>壓縮比和衝程。</t>
  </si>
  <si>
    <t>轉速和空速。</t>
  </si>
  <si>
    <t>航空器於飛行中,在空氣裡會有下列哪種外力</t>
  </si>
  <si>
    <t>各種彈力。</t>
  </si>
  <si>
    <t>各種阻力。</t>
  </si>
  <si>
    <t>各種磁力。</t>
  </si>
  <si>
    <t>各種正向力。</t>
  </si>
  <si>
    <t>某外力係與飛機運動方向相反的空氣動力,會阻礙飛機的前進,它是慢下列哪種外力</t>
  </si>
  <si>
    <t>寄生阻力可分為下列哪幾種</t>
  </si>
  <si>
    <t>摩擦阻力。</t>
  </si>
  <si>
    <t>形狀阻力。</t>
  </si>
  <si>
    <t>干擾阻力。</t>
  </si>
  <si>
    <t>對於高速遙控無人機而言,除了摩擦阻力、形狀阻力、誘導阻力和干擾阻力外,還會另外產生下列哪種阻力</t>
  </si>
  <si>
    <t>震波阻力。</t>
  </si>
  <si>
    <t>布斯曼阻力。</t>
  </si>
  <si>
    <t>達倫伯特阻力。</t>
  </si>
  <si>
    <t>雷諾阻力。</t>
  </si>
  <si>
    <t>下列哪個項目是空氣產生摩擦力的主要物理特性</t>
  </si>
  <si>
    <t>粘性。</t>
  </si>
  <si>
    <t>低汙染。</t>
  </si>
  <si>
    <t>PM2.5。</t>
  </si>
  <si>
    <t>高揮發性。</t>
  </si>
  <si>
    <t>空氣流經飛機表面發生摩擦,產生一個阻止飛機前進的力,這個力就是下列哪種阻力</t>
  </si>
  <si>
    <t>誘導阻力。</t>
  </si>
  <si>
    <t>摩擦阻力.</t>
  </si>
  <si>
    <t>空氣的粘性。</t>
  </si>
  <si>
    <t>飛機的表面狀況。</t>
  </si>
  <si>
    <t>同空氣相接觸的飛機表面積。</t>
  </si>
  <si>
    <t>空氣粘性越大,摩擦阻力就會有下列哪種變化</t>
  </si>
  <si>
    <t>飛機表面越粗糙,摩擦阻力就會有下列哪種變化</t>
  </si>
  <si>
    <t>飛機表面積越大,摩擦阻力就會有下列哪種變化</t>
  </si>
  <si>
    <t>由前後壓力差形成的阻力叫下列哪種阻力</t>
  </si>
  <si>
    <t>人在逆風中行走,會感到阻力的作用,這就是下列哪種阻力</t>
  </si>
  <si>
    <t>遙控無人飛機的機身與尾翼接合部分因氣流相互干擾,都會產生下列哪種阻力</t>
  </si>
  <si>
    <t>因升力產生渦流而發生的阻力稱為下列哪種阻力</t>
  </si>
  <si>
    <t>誘導阻力是遙控無人機為產生下列哪種外力而須付出的一種代價</t>
  </si>
  <si>
    <t>干擾阻力是遙控無人機各部分之間因下列哪種因素而產生的一種額外阻力</t>
  </si>
  <si>
    <t>氣流相互干擾。</t>
  </si>
  <si>
    <t>熱流相互作用。</t>
  </si>
  <si>
    <t>濕度相互作用。</t>
  </si>
  <si>
    <t>磁力相互作用。</t>
  </si>
  <si>
    <t>干擾阻力容易產生在下列哪些組件之間</t>
  </si>
  <si>
    <t>機身和機翼、機身和尾翼。</t>
  </si>
  <si>
    <t>機翼和外掛載。</t>
  </si>
  <si>
    <t>機翼、發動機短艙。</t>
  </si>
  <si>
    <t>重力是航空器本身之質量所受的下列哪種外力</t>
  </si>
  <si>
    <t>過重的重力對飛行有負面影響,故無人機機身的設計都是採用下列哪種材質</t>
  </si>
  <si>
    <t>較輕。</t>
  </si>
  <si>
    <t>較重。</t>
  </si>
  <si>
    <t>時重時輕。</t>
  </si>
  <si>
    <t>升力和阻力是飛機在空氣之間的下列哪種行為中產生</t>
  </si>
  <si>
    <t>分子光譜。</t>
  </si>
  <si>
    <t>動量守恆。</t>
  </si>
  <si>
    <t>相對運動(相對氣流)。</t>
  </si>
  <si>
    <t>雷諾傳輸。</t>
  </si>
  <si>
    <t>影響升力和阻力的基本因素除了飛機本身的特點,還有下列哪個因素</t>
  </si>
  <si>
    <t>機翼在氣流中的相對位置(攻角)。</t>
  </si>
  <si>
    <t>氣流的速度。</t>
  </si>
  <si>
    <t>空氣密度。</t>
  </si>
  <si>
    <t>相對氣流方向與翼弦所夾的角度叫下列哪個角</t>
  </si>
  <si>
    <t>俯仰角。</t>
  </si>
  <si>
    <t>滾轉角。</t>
  </si>
  <si>
    <t>攻角。</t>
  </si>
  <si>
    <t>偏航角。</t>
  </si>
  <si>
    <t>在飛行速度等其它條件相同的情況下,得到最大升力的攻角,叫做下列哪個項目</t>
  </si>
  <si>
    <t>理想攻角。</t>
  </si>
  <si>
    <t>臨界攻角。</t>
  </si>
  <si>
    <t>牛頓攻角。</t>
  </si>
  <si>
    <t>萊布尼茲攻角。</t>
  </si>
  <si>
    <t>在小於臨界攻角範圍內增大攻角,會有下列哪種結果</t>
  </si>
  <si>
    <t>升力增大。</t>
  </si>
  <si>
    <t>升力減少。</t>
  </si>
  <si>
    <t>升力不變。</t>
  </si>
  <si>
    <t>空氣密度大,相對氣流速度快,升力和阻力會有下列哪種變化</t>
  </si>
  <si>
    <t>升力越大、阻力越小。</t>
  </si>
  <si>
    <t>升力越小、阻力越大。</t>
  </si>
  <si>
    <t>升力和阻力越大。</t>
  </si>
  <si>
    <t>升力和阻力越小。</t>
  </si>
  <si>
    <t>機翼面積大,升力和阻力會有下列哪種變化</t>
  </si>
  <si>
    <t>升力和阻力與機翼面積大小的關係是下列哪種</t>
  </si>
  <si>
    <t>都與機翼面積大小成正比。</t>
  </si>
  <si>
    <t>都與機翼面積大小成反比。</t>
  </si>
  <si>
    <t>都與機翼面積大小的平方成正比。</t>
  </si>
  <si>
    <t>都與機翼面積大小的平方成反比。</t>
  </si>
  <si>
    <t>機翼形狀對下列哪個項目有很大影響</t>
  </si>
  <si>
    <t>升力、阻力。</t>
  </si>
  <si>
    <t>下列哪個項目對升力、阻力有影響</t>
  </si>
  <si>
    <t>機翼切面形狀的相對厚度、最大厚度位置。</t>
  </si>
  <si>
    <t>機翼平面形狀、襟翼和前緣翼縫的位置。</t>
  </si>
  <si>
    <t>機翼表面光滑狀況。</t>
  </si>
  <si>
    <t>遙控無人機表面光滑狀況會影響下列哪種阻力</t>
  </si>
  <si>
    <t>遙控無人機表面相對光滑,則阻力為下列哪種變化</t>
  </si>
  <si>
    <t>相對較小。</t>
  </si>
  <si>
    <t>相對較大。</t>
  </si>
  <si>
    <t>時大時小。</t>
  </si>
  <si>
    <t>大多數遙控無人機都由下列哪個主要部分組成</t>
  </si>
  <si>
    <t>機翼、機身、尾翼。</t>
  </si>
  <si>
    <t>起降裝置。</t>
  </si>
  <si>
    <t>無人飛機機翼的主要功用是產生下列哪種外力</t>
  </si>
  <si>
    <t>無人飛機機翼除提供升力外,也有下列哪些作用</t>
  </si>
  <si>
    <t>美觀和舒適。</t>
  </si>
  <si>
    <t>潤滑和保濕。</t>
  </si>
  <si>
    <t>穩定和操作。</t>
  </si>
  <si>
    <t>觀測和定位。</t>
  </si>
  <si>
    <t>在無人飛機機翼上一般安裝下列哪個物件</t>
  </si>
  <si>
    <t>副翼和襟翼。</t>
  </si>
  <si>
    <t>通訊設備。</t>
  </si>
  <si>
    <t>導航設備。</t>
  </si>
  <si>
    <t>操縱無人飛機副翼可使飛機產生下列哪種結果</t>
  </si>
  <si>
    <t>滾轉。</t>
  </si>
  <si>
    <t>爬升。</t>
  </si>
  <si>
    <t>下降。</t>
  </si>
  <si>
    <t>偏航。</t>
  </si>
  <si>
    <t>92</t>
  </si>
  <si>
    <t>無人飛機機翼還可安裝下列哪個物件</t>
  </si>
  <si>
    <t>外掛載。</t>
  </si>
  <si>
    <t>93</t>
  </si>
  <si>
    <t>無人飛機機身的主要功用是裝載下列哪個物件</t>
  </si>
  <si>
    <t>油箱。</t>
  </si>
  <si>
    <t>酬載。</t>
  </si>
  <si>
    <t>各種設備。</t>
  </si>
  <si>
    <t>94</t>
  </si>
  <si>
    <t>無人飛機尾翼包括下列哪些物件</t>
  </si>
  <si>
    <t>大尾翼和小尾翼。</t>
  </si>
  <si>
    <t>高速尾翼和低速尾翼。</t>
  </si>
  <si>
    <t>水平尾翼和垂直尾翼。</t>
  </si>
  <si>
    <t>旋轉尾翼和固定尾翼。</t>
  </si>
  <si>
    <t>95</t>
  </si>
  <si>
    <t>無人飛機水平尾翼包括下列哪些物件</t>
  </si>
  <si>
    <t>固定的升降舵和可動的水平安定面。</t>
  </si>
  <si>
    <t>固定的水平安定面和可動的升降舵。</t>
  </si>
  <si>
    <t>固定的升降舵和水平安定面。</t>
  </si>
  <si>
    <t>可動的升降舵和水平安定面。</t>
    <phoneticPr fontId="1" type="noConversion"/>
  </si>
  <si>
    <t>96</t>
  </si>
  <si>
    <t>無人飛機垂直尾翼包括下列哪些物件</t>
  </si>
  <si>
    <t>固定的方向舵和可動的垂直安定面。</t>
  </si>
  <si>
    <t>固定的垂直安定面和可動的方向舵。</t>
  </si>
  <si>
    <t>固定的方向舵和垂直安定面。</t>
  </si>
  <si>
    <t>可動的方向舵和垂直安定面。</t>
  </si>
  <si>
    <t>垂直尾翼通常由固定的垂直安定面和可動的方向舵組成，用以維持無人機的方向穩定性與航向操控。</t>
  </si>
  <si>
    <t>97</t>
  </si>
  <si>
    <t>無人飛機的起落架大都由下列哪些物件組成</t>
  </si>
  <si>
    <t>減震支柱和機輪。</t>
  </si>
  <si>
    <t>蒙皮和鉚釘。</t>
  </si>
  <si>
    <t>坡頂桁架和平行弦桁架。</t>
  </si>
  <si>
    <t>拉力元件和扭力元件。</t>
  </si>
  <si>
    <t>98</t>
  </si>
  <si>
    <t>起落架的作用是在下列哪個時機支撐無人飛機</t>
  </si>
  <si>
    <t>起飛時。</t>
  </si>
  <si>
    <t>著陸滑跑時。</t>
  </si>
  <si>
    <t>地面滑行和停放時。</t>
  </si>
  <si>
    <t>99</t>
  </si>
  <si>
    <t>動力系統主要用來產生使遙控無人機前進的下列哪些力</t>
  </si>
  <si>
    <t>重力與升力。</t>
  </si>
  <si>
    <t>重力與阻力。</t>
  </si>
  <si>
    <t>拉力和推力。</t>
  </si>
  <si>
    <t>升力與阻力。</t>
  </si>
  <si>
    <t>100</t>
  </si>
  <si>
    <t>無人飛機常見的動力系統有下列哪個項目</t>
  </si>
  <si>
    <t>航空活塞式發動機加螺旋槳推進器。</t>
  </si>
  <si>
    <t>渦輪噴氣發動機。</t>
  </si>
  <si>
    <t>渦輪螺旋槳發動機和渦輪扇或導風扇發動機。</t>
  </si>
  <si>
    <t>101</t>
  </si>
  <si>
    <t>無人飛機上通常不會安裝下列哪種設備</t>
  </si>
  <si>
    <t>飛行儀表。</t>
  </si>
  <si>
    <t>通訊設備、導航設備。</t>
  </si>
  <si>
    <t>安全設備。</t>
  </si>
  <si>
    <t>102</t>
  </si>
  <si>
    <t>操作人操作油門和操縱桿,控制無人機的操縱面,來達到所想要的下列哪個目的</t>
  </si>
  <si>
    <t>發動機溫度。</t>
  </si>
  <si>
    <t>環境濕度。</t>
  </si>
  <si>
    <t>酬載功能。</t>
  </si>
  <si>
    <t>103</t>
  </si>
  <si>
    <t>想像為一條由前往後穿過航空器的軸,稱之為下列哪個軸</t>
  </si>
  <si>
    <t>航空器縱軸(X軸)。</t>
  </si>
  <si>
    <t>航空器橫軸(Y軸)。</t>
  </si>
  <si>
    <t>航空器垂直軸(Z軸)。</t>
  </si>
  <si>
    <t>104</t>
  </si>
  <si>
    <t>除了副翼,航空器的下列哪個組件對於航空器的滾轉也會有影響</t>
  </si>
  <si>
    <t>升降舵。</t>
  </si>
  <si>
    <t>襟翼。</t>
  </si>
  <si>
    <t>方向舵。</t>
  </si>
  <si>
    <t>小翼。</t>
  </si>
  <si>
    <t>105</t>
  </si>
  <si>
    <t>想像為一條上下兩面垂直地穿過航空器的軸,稱之為下列哪個軸</t>
  </si>
  <si>
    <t>106</t>
  </si>
  <si>
    <t>關於遙控無人機的的操作原理,我們首要了解遙控無人飛機的下列哪種特性</t>
  </si>
  <si>
    <t>平衡性。</t>
  </si>
  <si>
    <t>穩定性。</t>
  </si>
  <si>
    <t>操縱性。</t>
  </si>
  <si>
    <t>107</t>
  </si>
  <si>
    <t>遙控無人機處於平衡狀態時,是表示下列哪種狀況</t>
  </si>
  <si>
    <t>其速度的大小和方向都保持不變。</t>
  </si>
  <si>
    <t>其發動機的轉速和馬力都保持不變.</t>
  </si>
  <si>
    <t>其所有翼面的角度和方向都保持不變。</t>
  </si>
  <si>
    <t>其酬載的方向和功能都保持不變。</t>
  </si>
  <si>
    <t>108</t>
  </si>
  <si>
    <t>遙控無人機穩定性的強弱,一般由下列哪個現象來衡量</t>
  </si>
  <si>
    <t>擺動衰減時間。</t>
  </si>
  <si>
    <t>擺動幅度。</t>
  </si>
  <si>
    <t>擺動次數。</t>
  </si>
  <si>
    <t>109</t>
  </si>
  <si>
    <t>遙控無人機的穩定性強,表示下列哪個現象</t>
  </si>
  <si>
    <t>擺動衰減時間短。</t>
  </si>
  <si>
    <t>擺動幅度小。</t>
  </si>
  <si>
    <t>擺動次數少。</t>
  </si>
  <si>
    <t>110</t>
  </si>
  <si>
    <t>遙控無人機穩定性的強弱,主要取決於遙控無人機的下列哪個特性</t>
  </si>
  <si>
    <t>重心位置。</t>
  </si>
  <si>
    <t>飛行速度和高度。</t>
  </si>
  <si>
    <t>攻角的變化。</t>
  </si>
  <si>
    <t>111</t>
  </si>
  <si>
    <t>遙控無人機在操作人操縱升降舵、方向舵和副翼下改變其飛行狀態的俯仰、方向和橫向之特性,是指遙控無人機的下列哪種特性</t>
  </si>
  <si>
    <t>112</t>
  </si>
  <si>
    <t>遙控無人機操縱性好,表示下列哪個現象</t>
  </si>
  <si>
    <t>操縱動作簡單。</t>
  </si>
  <si>
    <t>操縱省力。</t>
  </si>
  <si>
    <t>操縱反應快。</t>
  </si>
  <si>
    <t>113</t>
  </si>
  <si>
    <t>遙控無人機操作有哪四大基本動作</t>
  </si>
  <si>
    <t>平直飛行、側滑、爬升、下降。</t>
  </si>
  <si>
    <t>平直飛行、轉彎、爬升、倒飛。</t>
  </si>
  <si>
    <t>平直飛行、轉彎、爬升、下降。</t>
  </si>
  <si>
    <t>平直飛行、側滑、懸停、倒飛。</t>
  </si>
  <si>
    <t>114</t>
  </si>
  <si>
    <t>操作遙控無人飛機時,當副翼控制右上左下,機體相對於「機體中心」作下列哪種動作</t>
  </si>
  <si>
    <t>向上俯仰。</t>
  </si>
  <si>
    <t>右偏航。</t>
  </si>
  <si>
    <t>右滾。</t>
  </si>
  <si>
    <t>左滾。</t>
  </si>
  <si>
    <t>115</t>
  </si>
  <si>
    <t>操作遙控無人飛機時,當副翼控制右下左上,機體相對於「機體中心」作下列哪種動作</t>
  </si>
  <si>
    <t>116</t>
  </si>
  <si>
    <t>操作遙控無人飛機時,當方向舵控制往右,機體相對於「機體中心」作下列哪種動作</t>
  </si>
  <si>
    <t>左偏航。</t>
  </si>
  <si>
    <t>117</t>
  </si>
  <si>
    <t>操作遙控無人飛機時,當方向舵控制往左,機體相對於「機體中心」作下列哪種動作</t>
  </si>
  <si>
    <t>118</t>
  </si>
  <si>
    <t>控制遙控無人機時,操作人應以相對於下列哪個項目來思考「上」、「下」、「左」、「右」</t>
  </si>
  <si>
    <t>機體中心。</t>
  </si>
  <si>
    <t>地平面。</t>
  </si>
  <si>
    <t>操作人自己的虛擬座標。</t>
  </si>
  <si>
    <t>119</t>
  </si>
  <si>
    <t>無人直昇機,其主旋翼在旋轉時主要產生下列哪種力</t>
  </si>
  <si>
    <t>向上的升力。</t>
  </si>
  <si>
    <t>向下的升力。</t>
  </si>
  <si>
    <t>向前的升力。</t>
  </si>
  <si>
    <t>向後的升力。</t>
  </si>
  <si>
    <t>120</t>
  </si>
  <si>
    <t>無人直昇機主旋翼產生升力的原理,類似於下列哪個原理</t>
  </si>
  <si>
    <t>無人飛機機翼產生升力的原理。</t>
  </si>
  <si>
    <t>螺旋槳產生推力的原理。</t>
  </si>
  <si>
    <t>121</t>
  </si>
  <si>
    <t>若無人直昇機主旋翼的旋轉面保持在水平位置,則所產生的力是下列哪個方向</t>
  </si>
  <si>
    <t>垂直向下。</t>
  </si>
  <si>
    <t>垂直向上。</t>
  </si>
  <si>
    <t>傾斜向下。</t>
  </si>
  <si>
    <t>傾斜向上。</t>
  </si>
  <si>
    <t>122</t>
  </si>
  <si>
    <t>無人直昇機利用主旋翼產生升力的原理執行下列哪些動作</t>
  </si>
  <si>
    <t>起飛離地。</t>
  </si>
  <si>
    <t>懸停。</t>
  </si>
  <si>
    <t>123</t>
  </si>
  <si>
    <t>如果升力與推力大於重力與阻力,遙控無人機的運動方向是下列哪個方向</t>
  </si>
  <si>
    <t>124</t>
  </si>
  <si>
    <t>無人直昇機主旋翼的槳葉片的俯仰角愈大,就會有下列哪種情形</t>
  </si>
  <si>
    <t>升力愈大,扭力愈小。</t>
  </si>
  <si>
    <t>升力愈大,扭力也愈大。</t>
  </si>
  <si>
    <t>升力愈小,也扭力愈小。</t>
  </si>
  <si>
    <t>升力愈小,扭力愈大。</t>
  </si>
  <si>
    <t>125</t>
  </si>
  <si>
    <t>無人直昇機的尾旋翼主要功能為何</t>
  </si>
  <si>
    <t>抵消升力,控制機頭方向。</t>
  </si>
  <si>
    <t>抵消阻力,控制機頭方向.</t>
  </si>
  <si>
    <t>抵消扭力,控制機頭方向。</t>
  </si>
  <si>
    <t>抵消重力,控制機頭方向。</t>
  </si>
  <si>
    <t>126</t>
  </si>
  <si>
    <t>無人直昇機有下列哪些基本飛行動作</t>
  </si>
  <si>
    <t>平直飛行。</t>
  </si>
  <si>
    <t>轉彎。</t>
  </si>
  <si>
    <t>爬升及下降。</t>
  </si>
  <si>
    <t>127</t>
  </si>
  <si>
    <t>無人直昇機「垂直起飛到懸停」,係指垂直飛離地面約2~3呎,並保持下列哪種狀態</t>
  </si>
  <si>
    <t>航向不變。</t>
  </si>
  <si>
    <t>向左的傾斜狀態。</t>
  </si>
  <si>
    <t>向右的傾斜狀態。</t>
  </si>
  <si>
    <t>主旋翼轉速不變。</t>
  </si>
  <si>
    <t>128</t>
  </si>
  <si>
    <t>無人直昇機「懸停轉彎」,係指在懸停高度執行機鼻向左轉或向右轉,並保持下列哪種狀態不變</t>
  </si>
  <si>
    <t>相對於其他遙控無人直昇機的位置。</t>
  </si>
  <si>
    <t>相對於地面的位置。</t>
  </si>
  <si>
    <t>相對於最低雲層的位置。</t>
  </si>
  <si>
    <t>129</t>
  </si>
  <si>
    <t>無人直昇機「懸停轉彎」,係指保持不變的下列哪種狀態</t>
  </si>
  <si>
    <t>高度。</t>
  </si>
  <si>
    <t>轉彎率。</t>
  </si>
  <si>
    <t>轉速。</t>
  </si>
  <si>
    <t>130</t>
  </si>
  <si>
    <t>無人直昇機向前移動到另一特定位置,稱之為無人直昇機的下列哪種動作</t>
  </si>
  <si>
    <t>側向懸停飛行。</t>
  </si>
  <si>
    <t>向前懸停飛行。</t>
  </si>
  <si>
    <t>向後懸停飛行。</t>
  </si>
  <si>
    <t>131</t>
  </si>
  <si>
    <t>無人直昇機「向前懸停飛行」,係指保持不變的下列哪種狀態</t>
  </si>
  <si>
    <t>地面速度。</t>
  </si>
  <si>
    <t>132</t>
  </si>
  <si>
    <t>側向懸停飛行或向後懸停飛行。</t>
  </si>
  <si>
    <t>懸停轉彎。</t>
  </si>
  <si>
    <t>133</t>
  </si>
  <si>
    <t>無人直昇機「側向懸停飛行」,係指保持不變的下列哪種狀態</t>
  </si>
  <si>
    <t>134</t>
  </si>
  <si>
    <t>當必須移動無人直昇機到另一特定位置,但當時狀況不可能執行向前或側向懸停飛行時,就要使用下列哪種動作</t>
  </si>
  <si>
    <t>傾斜轉彎。</t>
  </si>
  <si>
    <t>135</t>
  </si>
  <si>
    <t>無人直昇機「向後懸停飛行」,係指保持不變的下列哪種狀態</t>
  </si>
  <si>
    <t>136</t>
  </si>
  <si>
    <t>無人直昇機「平直飛行」,係指保持下列哪種狀態</t>
  </si>
  <si>
    <t>高度不變和航向不變。</t>
  </si>
  <si>
    <t>高度不變和地面速度不變。</t>
  </si>
  <si>
    <t>地面速度不變和航向不變。</t>
  </si>
  <si>
    <t>主旋翼轉速不變和航向不變。</t>
  </si>
  <si>
    <t>137</t>
  </si>
  <si>
    <t>無人直昇機「傾斜轉彎」,係指保持在向左或向右的傾斜狀態,保持下列哪種狀態之飛行</t>
  </si>
  <si>
    <t>高度不變和航向不變。</t>
    <phoneticPr fontId="1" type="noConversion"/>
  </si>
  <si>
    <t>高度改變,但航向不變。</t>
  </si>
  <si>
    <t>高度不變,但航向改變。</t>
  </si>
  <si>
    <t>高度改變和航向改變。</t>
  </si>
  <si>
    <t>138</t>
  </si>
  <si>
    <t>無人直昇機「偏航」,係指利用尾旋翼推力執行下列哪種操縱</t>
  </si>
  <si>
    <t>改變高度。</t>
  </si>
  <si>
    <t>改變航向。</t>
  </si>
  <si>
    <t>改變地面速度。</t>
  </si>
  <si>
    <t>改變升力。</t>
  </si>
  <si>
    <t>139</t>
  </si>
  <si>
    <t>無人多旋翼機可以下列哪種方式來做區分</t>
  </si>
  <si>
    <t>旋翼數量。</t>
  </si>
  <si>
    <t>旋翼分布位置。</t>
  </si>
  <si>
    <t>旋翼是否能夠傾斜。</t>
  </si>
  <si>
    <t>140</t>
  </si>
  <si>
    <t>無人多旋翼機能夠垂直且穩定的執行下列哪種動作</t>
  </si>
  <si>
    <t>滾轉及水平平移。</t>
  </si>
  <si>
    <t>升降及偏航。</t>
  </si>
  <si>
    <t>偏航及水平平移。</t>
  </si>
  <si>
    <t>俯仰及水平平移。</t>
  </si>
  <si>
    <t>141</t>
  </si>
  <si>
    <t>垂直起降能力。</t>
  </si>
  <si>
    <t>定點懸停能力。</t>
  </si>
  <si>
    <t>穩定升降及偏航。</t>
  </si>
  <si>
    <t>142</t>
  </si>
  <si>
    <t>無人多旋翼機的下列哪種旋翼設計使得操控簡單且直接</t>
  </si>
  <si>
    <t>參差配置的。</t>
  </si>
  <si>
    <t>對稱的。</t>
  </si>
  <si>
    <t>不對稱的。</t>
  </si>
  <si>
    <t>偏一邊的。</t>
  </si>
  <si>
    <t>143</t>
  </si>
  <si>
    <t>定距槳無人多旋翼機與無人直昇機相比,在下列哪個方面有很大提升</t>
  </si>
  <si>
    <t>機械設計結構。</t>
  </si>
  <si>
    <t>控制難度。</t>
  </si>
  <si>
    <t>姿態平穩。</t>
  </si>
  <si>
    <t>144</t>
  </si>
  <si>
    <t>無人多旋翼機對飛行的影響是下列哪項</t>
  </si>
  <si>
    <t>沒有影響。</t>
  </si>
  <si>
    <t>變得複雜。</t>
  </si>
  <si>
    <t>變得簡單。</t>
  </si>
  <si>
    <t>有時變得複雜,有時變得簡單。</t>
  </si>
  <si>
    <t>145</t>
  </si>
  <si>
    <t>無人多旋翼機同時增加或減少每個旋翼的升力,來實現下列哪種飛行狀態</t>
  </si>
  <si>
    <t>垂直的升降姿態。</t>
  </si>
  <si>
    <t>俯仰的姿態。</t>
  </si>
  <si>
    <t>偏航的姿態。</t>
  </si>
  <si>
    <t>滾轉的姿態。</t>
  </si>
  <si>
    <t>146</t>
  </si>
  <si>
    <t>同時影響遙控無人機飛行性能與飛航安全的重要因素是下列哪些項目</t>
  </si>
  <si>
    <t>機體大小。</t>
  </si>
  <si>
    <t>電池容量。</t>
  </si>
  <si>
    <t>重量和重心位置。</t>
  </si>
  <si>
    <t>147</t>
  </si>
  <si>
    <t>操作人在飛行前應確認下列何者在合理範圍內</t>
  </si>
  <si>
    <t>148</t>
  </si>
  <si>
    <t>遙控無人機操作人在飛行前應詳細考量在下列哪種情況下可能降低飛行性能的載重因素</t>
  </si>
  <si>
    <t>高海拔。</t>
  </si>
  <si>
    <t>高溫。</t>
  </si>
  <si>
    <t>高濕度。</t>
  </si>
  <si>
    <t>149</t>
  </si>
  <si>
    <t>遙控無人機重力的著力點稱為下列哪個項目</t>
  </si>
  <si>
    <t>形心。</t>
  </si>
  <si>
    <t>氣動力中心。</t>
  </si>
  <si>
    <t>升力中心。</t>
  </si>
  <si>
    <t>150</t>
  </si>
  <si>
    <t>遙控無人機的下列哪個項目與穩定性有很大的關聯</t>
  </si>
  <si>
    <t>外觀。</t>
  </si>
  <si>
    <t>大小。</t>
  </si>
  <si>
    <t>顏色。</t>
  </si>
  <si>
    <t>151</t>
  </si>
  <si>
    <t>當遙控無人機重心位置超出允許範圍時,可能導致遙控無人機發生下列哪種情形</t>
  </si>
  <si>
    <t>無法穩定起飛。</t>
  </si>
  <si>
    <t>無法穩定落地。</t>
  </si>
  <si>
    <t>失速。</t>
  </si>
  <si>
    <t>152</t>
  </si>
  <si>
    <t>遙控無人機飛行時,為產生各種姿態,作用於機身上的力為下列哪種情形</t>
  </si>
  <si>
    <t>升力通常較重量為大。</t>
  </si>
  <si>
    <t>升力通常較重量為小。</t>
  </si>
  <si>
    <t>有時升力較大,有時重量較大。</t>
  </si>
  <si>
    <t>153</t>
  </si>
  <si>
    <t>遙控無人機的轉彎率因不同的速度而隨之不同,這是為了要抵銷所增加的下列哪種力,以保持負載係數不變</t>
  </si>
  <si>
    <t>向心力。</t>
  </si>
  <si>
    <t>離心力。</t>
  </si>
  <si>
    <t>正向力。</t>
  </si>
  <si>
    <t>扭力。</t>
  </si>
  <si>
    <t>154</t>
  </si>
  <si>
    <t>遙控無人機轉彎時,需執行下列哪個動作以補償升力的不足</t>
  </si>
  <si>
    <t>增加正向力。</t>
  </si>
  <si>
    <t>增加攻角。</t>
  </si>
  <si>
    <t>增加扭力。</t>
  </si>
  <si>
    <t>增加離心力。</t>
  </si>
  <si>
    <t>155</t>
  </si>
  <si>
    <t>無人飛機重心位置靠前時,為維持遙控無人機的俯仰平衡,需要尾翼提供下列哪種力</t>
  </si>
  <si>
    <t>更大的向前的推力。</t>
  </si>
  <si>
    <t>更大的向上的升力。</t>
  </si>
  <si>
    <t>更大的向下的升力。</t>
  </si>
  <si>
    <t>更大的向外的離心力。</t>
  </si>
  <si>
    <t>當重心靠前時，機頭沉重，需要尾翼產生更大的向下負升力來維持平衡。這會增大配平總阻力(誘導阻力增加)、導致油耗/電耗增加、降低航程，且在起飛時需要更高的速度且仰轉困難。</t>
  </si>
  <si>
    <t>156</t>
  </si>
  <si>
    <t>遙控無人機重心位置靠前時,機頭較為沉重,起飛離地時有下列哪種情形</t>
  </si>
  <si>
    <t>較為困難。</t>
  </si>
  <si>
    <t>較為容易。</t>
  </si>
  <si>
    <t>有時容易有時困難。</t>
  </si>
  <si>
    <t>157</t>
  </si>
  <si>
    <t>無人飛機重心位置靠前時,會有下列哪種情形</t>
  </si>
  <si>
    <t>減少誘導阻力。</t>
  </si>
  <si>
    <t>增大誘導阻力。</t>
  </si>
  <si>
    <t>誘導阻力不變。</t>
  </si>
  <si>
    <t>158</t>
  </si>
  <si>
    <t>油耗增加。</t>
  </si>
  <si>
    <t>航程距離降低。</t>
  </si>
  <si>
    <t>159</t>
  </si>
  <si>
    <t>無人飛機重心位置靠前時,提高了下列哪種風險</t>
  </si>
  <si>
    <t>不穩定進場的風險。</t>
  </si>
  <si>
    <t>穩定進場的風險。</t>
  </si>
  <si>
    <t>非精確進場的風險。</t>
  </si>
  <si>
    <t>精確進場的風險。</t>
  </si>
  <si>
    <t>160</t>
  </si>
  <si>
    <t>無人飛機重心後移時,由於機頭較輕,可能會使得起飛時發生下列哪種情形</t>
  </si>
  <si>
    <t>偏離跑道。</t>
  </si>
  <si>
    <t>左右搖擺。</t>
  </si>
  <si>
    <t>提前仰轉。</t>
  </si>
  <si>
    <t>延後離地。</t>
  </si>
  <si>
    <t>161</t>
  </si>
  <si>
    <t>無人飛機重心後移時,起飛爬升時可能會因仰角過大,而造成下列哪種情形</t>
  </si>
  <si>
    <t>起飛速度增加。</t>
  </si>
  <si>
    <t>起飛重量降低。</t>
  </si>
  <si>
    <t>失速與機尾擦地。</t>
  </si>
  <si>
    <t>162</t>
  </si>
  <si>
    <t>無人飛機重心後移時,配平及總阻力減小,也進而導致下列哪種情形</t>
  </si>
  <si>
    <t>油耗減少。</t>
  </si>
  <si>
    <t>續航能力增加。</t>
  </si>
  <si>
    <t>失速速度減小。</t>
  </si>
  <si>
    <t>163</t>
  </si>
  <si>
    <t>無人直昇機重心太靠後,會影響下列哪種性能</t>
    <phoneticPr fontId="1" type="noConversion"/>
  </si>
  <si>
    <t>高速前飛性能及穩定。</t>
  </si>
  <si>
    <t>從地面到正常起飛。</t>
  </si>
  <si>
    <t>164</t>
  </si>
  <si>
    <t>無人多旋翼機重心移動可能造成下列哪種結果</t>
  </si>
  <si>
    <t>升力增加。</t>
  </si>
  <si>
    <t>操控較為困難。</t>
  </si>
  <si>
    <t>阻力減少。</t>
  </si>
  <si>
    <t>165</t>
  </si>
  <si>
    <t>遙控無人機重量增加可能對起飛速度造成下列哪種結果</t>
  </si>
  <si>
    <t>降低起飛速度。</t>
  </si>
  <si>
    <t>起飛速度不變。</t>
  </si>
  <si>
    <t>提高起飛速度。</t>
  </si>
  <si>
    <t>166</t>
  </si>
  <si>
    <t>遙控無人機重量增加可能對滑行距離造成下列哪種結果</t>
  </si>
  <si>
    <t>縮短起飛滑行距離。</t>
  </si>
  <si>
    <t>加長起飛滑行距離。</t>
  </si>
  <si>
    <t>起飛滑行距離不變。</t>
  </si>
  <si>
    <t>167</t>
  </si>
  <si>
    <t>遙控無人機重量增加可能對爬升率及爬升角造成下列哪種結果</t>
  </si>
  <si>
    <t>降低爬升率和爬升角度。</t>
  </si>
  <si>
    <t>增加爬升率和爬升角度。</t>
    <phoneticPr fontId="1" type="noConversion"/>
  </si>
  <si>
    <t>爬升率和爬升角度不變。</t>
  </si>
  <si>
    <t>168</t>
  </si>
  <si>
    <t>遙控無人機重量增加可能對飛航最高高度造成下列哪種結果</t>
  </si>
  <si>
    <t>降低飛航最高高度。</t>
  </si>
  <si>
    <t>增加飛航最高高度。</t>
  </si>
  <si>
    <t>飛航最高高度不變。</t>
  </si>
  <si>
    <t>169</t>
  </si>
  <si>
    <t>遙控無人機重量增加可能對操作性能造成下列哪種結果</t>
  </si>
  <si>
    <t>操作性能不變。</t>
  </si>
  <si>
    <t>增加操作性能。</t>
  </si>
  <si>
    <t>降低操作性能。</t>
  </si>
  <si>
    <t>170</t>
  </si>
  <si>
    <t>遙控無人機重量增加可能對進場及降落速度造成下列哪種結果</t>
  </si>
  <si>
    <t>降低進場和降落速度。</t>
  </si>
  <si>
    <t>提高進場和降落速度。</t>
  </si>
  <si>
    <t>進場和降落速度不變。</t>
  </si>
  <si>
    <t>171</t>
  </si>
  <si>
    <t>遙控無人機重量增加可能對降落滾行距離造成下列哪種結果</t>
  </si>
  <si>
    <t>加長降落滾行距離。</t>
  </si>
  <si>
    <t>縮短降落滾行距離。</t>
  </si>
  <si>
    <t>降落滾行距離不變。</t>
  </si>
  <si>
    <t>172</t>
  </si>
  <si>
    <t>為確保飛行安全,操作人須審慎確認遙控無人機的下列哪個特性</t>
  </si>
  <si>
    <t>重量與載重平衡。</t>
  </si>
  <si>
    <t>價格。</t>
  </si>
  <si>
    <t>朗讀完畢，祝你考試順利。</t>
    <phoneticPr fontId="1" type="noConversion"/>
  </si>
  <si>
    <t>朗讀完畢，祝你考試順利。</t>
    <phoneticPr fontId="1" type="noConversion"/>
  </si>
  <si>
    <t>普通操作證學科測驗題庫</t>
  </si>
  <si>
    <t>第二章：基礎飛行原理</t>
  </si>
  <si>
    <t>115年7月22日版</t>
  </si>
  <si>
    <t>航空器擁有三個互相垂直的控制軸：縱軸(X軸)對應滾轉、橫軸(Y軸)對應俯仰、垂直軸(Z軸)對應偏航。當某一軸向的合力與力矩為零時，該方向即達到運動平衡狀態。
【】本題縱軸(X軸)方向合力為零,飛機速度不變。</t>
    <phoneticPr fontId="1" type="noConversion"/>
  </si>
  <si>
    <t>航空器擁有三個互相垂直的控制軸：縱軸(X軸)對應滾轉、橫軸(Y軸)對應俯仰、垂直軸(Z軸)對應偏航。當某一軸向的合力與力矩為零時，該方向即達到運動平衡狀態。
【】本題垂直軸(Z軸)方向合力為零,飛機無升降起伏。</t>
    <phoneticPr fontId="1" type="noConversion"/>
  </si>
  <si>
    <t>干擾阻力是指無人機各組件(如機身與機翼、機身與尾翼接合處)在氣流交會時相互干擾、產生額外渦流所引起的附加阻力，因此各部件間均會產生干擾阻力。</t>
    <phoneticPr fontId="1" type="noConversion"/>
  </si>
  <si>
    <t>無人多旋翼機透過調整對稱排列的垂直旋翼間的相對轉速，來精準改變各軸出力，實現垂直升降、俯仰、滾轉與偏航。由於採用對稱、定距槳設計，大大簡化了機械結構並提升了操控的直接性與姿態平穩。
【】重心移動將造成平衡機制破壞、飛況不穩定。</t>
    <phoneticPr fontId="1" type="noConversion"/>
  </si>
  <si>
    <t>無人機總重量增加意味著需要更大的升力。為達到起飛升力，必須提高起飛與降落速度、加長起滑與滾行距離、降低爬升率與爬升角，並全面降低飛行操作性能與最高升限。
【】太重了，必須緩慢升空。</t>
    <phoneticPr fontId="1" type="noConversion"/>
  </si>
  <si>
    <t>無人機總重量增加意味著需要更大的升力。為達到起飛升力，必須提高起飛與降落速度、加長起滑與滾行距離、降低爬升率與爬升角，並全面降低飛行操作性能與最高升限。
【】變重了，必須再滑快一些以取得升空的能量，故須加長起飛滑行距離。</t>
    <phoneticPr fontId="1" type="noConversion"/>
  </si>
  <si>
    <t>無人機總重量增加意味著需要更大的升力。為達到起飛升力，必須提高起飛與降落速度、加長起滑與滾行距離、降低爬升率與爬升角，並全面降低飛行操作性能與最高升限。
【】變重了，必須加大馬力提速才能順利升空。</t>
    <phoneticPr fontId="1" type="noConversion"/>
  </si>
  <si>
    <t>無人機總重量增加意味著需要更大的升力。為達到起飛升力，必須提高起飛與降落速度、加長起滑與滾行距離、降低爬升率與爬升角，並全面降低飛行操作性能與最高升限。
【】變重了，原設計能量不足以支撐原飛航空度。</t>
    <phoneticPr fontId="1" type="noConversion"/>
  </si>
  <si>
    <t>無人機總重量增加意味著需要更大的升力。為達到起飛升力，必須提高起飛與降落速度、加長起滑與滾行距離、降低爬升率與爬升角，並全面降低飛行操作性能與最高升限。
【】變重了，任何功能均須加大出力才能動作，因此操作性能降低了。</t>
    <phoneticPr fontId="1" type="noConversion"/>
  </si>
  <si>
    <t>無人機總重量增加意味著需要更大的升力。為達到起飛升力，必須提高起飛與降落速度、加長起滑與滾行距離、降低爬升率與爬升角，並全面降低飛行操作性能與最高升限。
【】變重了，原設計能量不足以支撐原設計起飛、降落功能，必須加大出力，因此起飛時要提速、降落時因重量關係，速度會增加。</t>
    <phoneticPr fontId="1" type="noConversion"/>
  </si>
  <si>
    <t>無人機總重量增加意味著需要更大的升力。為達到起飛升力，必須提高起飛與降落速度、加長起滑與滾行距離、降低爬升率與爬升角，並全面降低飛行操作性能與最高升限。
【】變重了，原設計能量不足以支撐原設計起飛、降落功能，必須拉長滑行距離以消耗能量，才能順利停住。</t>
    <phoneticPr fontId="1" type="noConversion"/>
  </si>
  <si>
    <t>當必須移動無人直昇機到另一特定位置,但當時狀況不可能執行向前飛行時,就要使用下列哪種動作</t>
    <phoneticPr fontId="1" type="noConversion"/>
  </si>
  <si>
    <t>《》無人多旋翼機設計特性直接影響了飛行器的推力配置、負載能力與飛行姿態控制方式。依據交通部民航局無人機考照學科規範，區分方式細節如下：
第1.旋翼數量：例如常見的四軸、六軸、八軸等多旋翼飛行器。
第2.旋翼分布位置：如十字型、同軸雙槳等不同的機臂與馬達配置。
第3.旋翼是否能夠傾斜：如傾斜旋翼機（Tiltrotor）設計，具備垂直起降與高速前飛的能力。</t>
    <phoneticPr fontId="1" type="noConversion"/>
  </si>
  <si>
    <t>無人多旋翼機透過調整對稱排列的垂直旋翼間的相對轉速，來精準改變各軸出力，實現垂直升降、俯仰、滾轉與偏航。由於採用對稱、定距槳設計，能夠垂直且穩定的執行升降及偏航。</t>
    <phoneticPr fontId="1" type="noConversion"/>
  </si>
  <si>
    <t>無人多旋翼機具備優秀的下列哪種能力是一般無人飛機望塵莫及的</t>
    <phoneticPr fontId="1" type="noConversion"/>
  </si>
  <si>
    <t>無人多旋翼機透過調整對稱排列的垂直旋翼間的相對轉速，來精準改變各軸出力，實現垂直升降、俯仰、滾轉與偏航。由於採用對稱、定距槳設計，大大簡化了機械結構並提升了操控的直接性與姿態平穩。
【】無人多旋翼機具有絶佳的操作性。</t>
    <phoneticPr fontId="1" type="noConversion"/>
  </si>
  <si>
    <t>無人多旋翼機透過調整對稱排列的垂直旋翼間的相對轉速，來精準改變各軸出力，實現垂直升降、俯仰、滾轉與偏航。由於採用對稱、定距槳設計，大大簡化了機械結構並提升了操控的直接性與姿態平穩。
【】無人多旋翼機對稱性的設計使得操控簡單且直接。</t>
    <phoneticPr fontId="1" type="noConversion"/>
  </si>
  <si>
    <t>無人多旋翼機透過調整對稱排列的垂直旋翼間的相對轉速，來精準改變各軸出力，實現垂直升降、俯仰、滾轉與偏航。由於採用對稱、定距槳設計，大大簡化了機械結構並提升了操控的直接性與姿態平穩。
【】定距槳無人多旋翼機與無人直昇機相比,操控簡單且直接。</t>
    <phoneticPr fontId="1" type="noConversion"/>
  </si>
  <si>
    <t>無人多旋翼機透過調整對稱排列的垂直旋翼間的相對轉速，來精準改變各軸出力，實現垂直升降、俯仰、滾轉與偏航。由於採用對稱、定距槳設計，大大簡化了機械結構並提升了操控的直接性與姿態平穩。
【】無人多旋翼機操控簡單且直接，讓活動變得簡單。。</t>
    <phoneticPr fontId="1" type="noConversion"/>
  </si>
  <si>
    <t>無人多旋翼機同時增加或減少每個旋翼的升力（調整所有旋翼的轉速），主要是用來實現 垂直的升降姿態。同時增加轉速：總升力大於機體重量，使無人機垂直上升。同時減少轉速：總升力小於機體重量，使無人機垂直下降。</t>
    <phoneticPr fontId="1" type="noConversion"/>
  </si>
  <si>
    <t>同時影響遙控無人機飛行性能與飛航安全的重要因素為重量和重心位置。若遙控無人機過重或重心超出允許範圍，將直接導致飛行不穩定、控制困難，甚至產生無法順利起降或失速墜毀等飛航安全問題。</t>
    <phoneticPr fontId="1" type="noConversion"/>
  </si>
  <si>
    <t>當重心靠前時，機頭沉重，需要尾翼產生更大的向下負升力來維持平衡。這會增大配平總阻力(誘導阻力增加)、導致油耗/電耗增加、降低航程，且在起飛時需要更高的速度且仰轉困難。
《》遙控無人機重心位置靠前（機頭較沉）時，起飛仰轉時會較為困難。因重心前移會使機頭重量增加，需要尾翼提供更大的向下升力來維持俯仰平衡。
在起飛離地時，會發生下列情形：起飛仰轉困難：由於機頭沉重，拉桿抬起機頭時需要更大的力矩。阻力與油耗增加：為了保持飛行速度，必須增加發動機推力，導致失速速度上升及誘導阻力增大。進場風險提高：在低速狀態下，配平可能不足以穩定強烈的俯仰姿態，進而提高不穩定進場的風險。</t>
    <phoneticPr fontId="1" type="noConversion"/>
  </si>
  <si>
    <t>當重心靠前時，機頭沉重，需要尾翼產生更大的向下負升力來維持平衡。這會增大配平總阻力(誘導阻力增加)、導致油耗/電耗增加、降低航程，且在起飛時需要更高的速度且仰轉困難。
《》無人飛機重心過於靠前時，會導致起飛仰轉困難、配平（Trim）需求增加以致阻力變大、油耗增加以及續航能力減少。這也是遙控無人機學科測驗中常見的基礎飛行原理考題。</t>
    <phoneticPr fontId="1" type="noConversion"/>
  </si>
  <si>
    <t>當重心靠前時，機頭沉重，需要尾翼產生更大的向下負升力來維持平衡。這會增大配平總阻力(誘導阻力增加)、導致油耗/電耗增加、降低航程，且在起飛時需要更高的速度且仰轉困難。
《》無人飛機重心位置過於靠前時，會提高不穩定進場的風險。這是因為當重心過度前移時，機頭變得較沉重，需要尾翼提供更大的下壓力來維持俯仰平衡。在低速飛行時，若配平（Trim）可能不足，將會導致難以穩定控制飛機的俯仰姿態，進而增加降落進場時發生不穩定的危險。</t>
    <phoneticPr fontId="1" type="noConversion"/>
  </si>
  <si>
    <t>重心後移會使機頭變輕、飛機縱向穩定性變差。雖然配平阻力減小可能使續航增加，但起飛時極易提前仰轉、甚至導致失速或機尾擦地；對直昇機則會嚴重惡化高速前飛性能。
《》無人飛機重心後移時，由於機頭較輕、俯仰力矩減小，起飛時很容易發生「提前仰轉」的情形。無人飛機重心過於後移除了會導致起飛時機頭過早抬起（提前仰轉）外，在爬升時若操作不慎，還可能因仰角過大而導致失速或機尾擦地。</t>
    <phoneticPr fontId="1" type="noConversion"/>
  </si>
  <si>
    <t>重心後移會使機頭變輕、飛機縱向穩定性變差。雖然配平阻力減小可能使續航增加，但起飛時極易提前仰轉、甚至導致失速或機尾擦地；對直昇機則會嚴重惡化高速前飛性能。
《》無人飛機重心後移時，因機頭較輕，起飛爬升時若操作不慎，可能會造成 失速與機尾擦地 的情形。重心後移除了可能導致機尾擦地外，還會帶來以下影響：起飛提前仰轉：機頭重量較輕，離地時仰轉動作會變得較快。較難改正失速：若飛機進入螺旋失速狀態，會變得更難以操控及改正。</t>
    <phoneticPr fontId="1" type="noConversion"/>
  </si>
  <si>
    <t>遙控無人機的能量來源主要包含鋰電池、太陽能與氫能。</t>
    <phoneticPr fontId="1" type="noConversion"/>
  </si>
  <si>
    <t>遙控無人機的圖傳（影像傳輸）主要資料傳輸形態分為類比與數位兩種方式。類比圖傳：傳輸延遲極低、畫面連續無延遲卡頓，但易受雜訊干擾且畫面品質通常較差。數位圖傳：訊號抗干擾能力強、影像畫質清晰，且能同時傳輸豐富的飛行數據，是目前消費與專業無人機的主流。</t>
    <phoneticPr fontId="1" type="noConversion"/>
  </si>
  <si>
    <t>遙控無人機的通訊技術主要朝向 高速、寬頻、保密與抗干擾 方向發展，以滿足即時影像傳輸、遠距操控及複雜任務的需求。
依據交通部民用航空局的無人機學科測驗題庫規範，相關發展方向包含以下重點：高速與寬頻：支援高解析度即時影像（如 4K/8K 視訊）及龐大數據的傳輸。保密性：確保飛行指令與資料不被攔截或篡改，提升飛行任務安全性。抗干擾能力：在電磁環境複雜或遭受惡意干擾時，仍能維持穩定的連線與控制。</t>
    <phoneticPr fontId="1" type="noConversion"/>
  </si>
  <si>
    <t>隨著機載感測器精度和任務複雜度的上升，機載處理器的運算需求也將隨之提高。為了處理來自高精度感測器的大量資料並執行複雜的任務邏輯，機載計算機必須具備更強大的數據處理與分析能力。</t>
    <phoneticPr fontId="1" type="noConversion"/>
  </si>
  <si>
    <t>根據我國《民用航空法》第二條第一項的定義，所謂航空器，係指任何藉空氣之反作用力（而非藉空氣對地球表面之反作用力），得以飛航於大氣中之器物。常見的定翼機、直升機、無人機等，皆是利用此原理在大氣中飛行。</t>
    <phoneticPr fontId="1" type="noConversion"/>
  </si>
  <si>
    <t>遙控無人機比空氣重，無法單靠空氣的浮力（如熱氣球）上升，必須藉由馬達與螺旋槳產生相對應的「能量」（例如電池電力）。此能量能推動螺旋槳或噴射引擎產生升力與推力，以克服機身重力與空氣阻力，進而在空中飛行。</t>
    <phoneticPr fontId="1" type="noConversion"/>
  </si>
  <si>
    <t>無人飛機因機翼固定，具有飛行速度快、酬載大與飛行效率高的優勢。受惠於機翼的空氣動力學設計，它不需要太複雜的控制，即可自行抵抗氣流並保持穩定的飛行。其主要缺點則是起降時需要較長的跑道距離。</t>
    <phoneticPr fontId="1" type="noConversion"/>
  </si>
  <si>
    <t>遙控無人「飛機」的缺點是需要有相當的 跑道長度 供起降之用，無法像直昇機或多旋翼機一樣進行垂直起降。
傳統固定翼無人飛機起飛時，必須藉由滑行來獲得足夠的相對風與升力；降落時也需要滑行距離來減速煞停，因此平坦且長度足夠的跑道是必備條件。</t>
    <phoneticPr fontId="1" type="noConversion"/>
  </si>
  <si>
    <t>透過旋翼槳葉產生升力，同時也能產生推力的遙控無人機是遙控無人直昇機。
無人直昇機的主旋翼透過改變槳葉螺距，不僅能提供向上的升力，還能透過傾斜旋翼面產生前進或後退的推力，進而自由調整姿態、定點盤旋與垂直起降。這項分類常出現在無人機操作證的基礎飛行原理考題中。</t>
    <phoneticPr fontId="1" type="noConversion"/>
  </si>
  <si>
    <t>無人直昇機可以執行下列哪個動作</t>
    <phoneticPr fontId="1" type="noConversion"/>
  </si>
  <si>
    <t>無人直昇機能夠執行 定點盤旋、起飛與落地，以及自由調整姿態 等動作。由於其旋翼設計與運作原理，還可執行包括起飛離地、爬升、懸停等操作。</t>
    <phoneticPr fontId="1" type="noConversion"/>
  </si>
  <si>
    <t>操作人只要在遙控設備上施加桿力，就可改變遙控無人機的方向或速度。透過推拉遙控桿，系統會控制無人機的各個操縱面（如多軸馬達轉速或定翼機的副翼、升降舵等），進而達成滾轉、俯仰、偏航及油門的變換。</t>
    <phoneticPr fontId="1" type="noConversion"/>
  </si>
  <si>
    <t>若無人飛機保持固定的空速以直線行進,依牛頓運動定律,下列哪個特性會使得飛機持續保持穩定的直線飛行</t>
    <phoneticPr fontId="1" type="noConversion"/>
  </si>
  <si>
    <t>根據牛頓第一運動定律(慣性定律)，物體若不受外力或合力為零，靜止者恆靜止，運動者恆作等速度直線飛行。頂風(逆風)飛行時，由於空氣對流速度增加，地速(相對於地面的速度)會變慢。</t>
    <phoneticPr fontId="1" type="noConversion"/>
  </si>
  <si>
    <t>無人飛機飛行時，若風從無人飛機前方的任一方向（如側風或陣風）吹來，一旦風力對機身產生作用，飛行員若沒有隨之操作修正，飛機的航向就會受到外力影響而偏移。</t>
    <phoneticPr fontId="1" type="noConversion"/>
  </si>
  <si>
    <t>無人飛機的推力是由發動機（動力系統）提供的。發動機帶動螺旋槳或產生噴射氣流，提供使飛機向前飛行所需的推進力。</t>
    <phoneticPr fontId="1" type="noConversion"/>
  </si>
  <si>
    <t>無人飛機的阻力是由空氣產生的。
航空器在飛行時主要會受到四種力相互作用：升力、重力、推力和阻力。這四種力的來源分別為：
第1.阻力：由空氣產生，作為與飛機運動方向相反的空氣動力。
第2.升力：由機翼產生。
第3.推力：由發動機產生。
第4.重力：由地心引力產生。</t>
    <phoneticPr fontId="1" type="noConversion"/>
  </si>
  <si>
    <t>無人飛機的升力主要由機翼提供。根據交通部民用航空局的遙控無人機學科測驗規範，飛行中的無人機會受到升力、推力、阻力和重力四力交互作用，其中「升力」由機翼產生，「推力」由發動機提供，「阻力」來自空氣，而「重力」則由地心引力產生。</t>
    <phoneticPr fontId="1" type="noConversion"/>
  </si>
  <si>
    <t>重力是由地心引力（或稱萬有引力）所產生的。
地心引力科學原理：根據牛頓萬有引力定律，任何具有質量的物體都會產生相互吸引的重力場。在地球表面附近，我們所感受到的「重力」主要就是地球質量所產生的地心引力。</t>
    <phoneticPr fontId="1" type="noConversion"/>
  </si>
  <si>
    <t>遙控無人機的機翼或旋翼是主要產生升力的地方。當空氣流過機翼或旋翼時，利用流體力學原理（如柏努利定律）產生上下表面的壓力差，進而提供抵抗重力、使無人機在空中飛行與爬升的作用力。</t>
    <phoneticPr fontId="1" type="noConversion"/>
  </si>
  <si>
    <t>「垂直於相對氣流方向的壓力差之總和」就是飛機或航空器的 機翼升力。當氣流通過機翼時，因為流速的不同而產生上下表面壓力差，這個垂直於氣流方向的壓差加總便形成了升力。</t>
    <phoneticPr fontId="1" type="noConversion"/>
  </si>
  <si>
    <t>螺旋槳產生的推力是藉由「槳葉本身的攻角設計」與「螺旋槳轉速（RPM）」共同作用而成。當發動機帶動螺旋槳旋轉時，槳葉前端的特殊弧度與攻角會加速空氣流動，利用白努利定律產生壓力差，進而推動空氣並轉化為向前推進的反作用力。</t>
    <phoneticPr fontId="1" type="noConversion"/>
  </si>
  <si>
    <t>螺旋槳轉速通常是以每分鐘轉數（RPM）來表示。轉速單位說明每分鐘轉數（RPM）：指螺旋槳在一分鐘內轉動的圈數，為航空與動力機械領域中最常用的轉速標準單位。</t>
    <phoneticPr fontId="1" type="noConversion"/>
  </si>
  <si>
    <t>一般螺旋槳攻角最大位置在槳葉根部。這是因為槳葉從根部到葉尖，每一單位的旋轉線速度不同（葉尖最快、根部最慢）。為了讓整片槳葉產生的推力平均，原廠設計時會採用「扭轉角」設計，讓攻角從根部最大開始，一路遞減至葉尖最小。</t>
    <phoneticPr fontId="1" type="noConversion"/>
  </si>
  <si>
    <t>飛機螺旋槳在原廠設計時，為了達到最佳效率的槳葉角度，主要是依據發動機的轉速以及飛機的空速作為計算基礎。由於槳葉各截面相對於空氣的旋轉速度會隨半徑不同而改變（葉尖最快、根部最慢），設計上會依據這些特性將槳葉做成扭曲狀，以維持全槳葉的最佳推力效率。</t>
    <phoneticPr fontId="1" type="noConversion"/>
  </si>
  <si>
    <t>由前後壓力差形成的阻力稱為形狀阻力（又稱壓差阻力）。這是由於物體（如飛機、車輛）在氣流中移動時，前端迎風面受到氣流阻擋壓力升高，而後端氣流分離產生渦流使壓力降低，這種前後壓力差便會形成阻力。</t>
    <phoneticPr fontId="1" type="noConversion"/>
  </si>
  <si>
    <t>人在逆風中行走時所感受到的阻力，主要是由於物體正面與背面的空氣壓力差所造成，這在空氣動力學中被稱為形狀阻力（亦稱為壓差阻力）。當您向前行走時，迎面而來的空氣受到身體阻擋，在身體前方產生較高的壓力；而在身體背後，因為氣流分離形成較低的壓力區。這種前後的壓力差便形成了阻止您前進的「形狀阻力」。</t>
    <phoneticPr fontId="1" type="noConversion"/>
  </si>
  <si>
    <t>升力和阻力是飛機在空氣之中的相對運動（相對氣流）中產生的。當飛機在空氣中前進或空氣流經機翼時，機翼與空氣產生了相對速度。機翼的特殊形狀以及迎風角度（攻角）會迫使流動的空氣改變方向，進而產生垂直於氣流方向的向上分力（升力），以及平行於氣流方向的反作用阻力。</t>
    <phoneticPr fontId="1" type="noConversion"/>
  </si>
  <si>
    <t>在飛行速度等其它條件相同的情況下，得到最大升力的攻角，叫做臨界攻角。在此攻角範圍內增加攻角，升力會隨之增大；但若超過臨界攻角，氣流將無法平順流過機翼上表面而產生剝離與紊流，導致升力反而減小並急劇增加阻力。</t>
    <phoneticPr fontId="1" type="noConversion"/>
  </si>
  <si>
    <t>空氣密度大、相對氣流速度快時，升力和阻力都會變大。根據空氣動力學的升力與阻力公式，這兩者皆與「空氣密度」和「相對氣流速度的平方」成正比。因此，當空氣密度增加且氣流速度加快時，機翼產生的向上升力會增大，同時機身所受到的空氣阻力也會隨之變大。</t>
    <phoneticPr fontId="1" type="noConversion"/>
  </si>
  <si>
    <t>機翼面積越大，產生的升力越大、阻力也越大。在空氣動力學中，升力與阻力的大小均與機翼面積成正比；雖然較大的面積能在低速時提供更好的舉升效果，但同時也會增加機身前進時的摩擦與形狀阻力。</t>
    <phoneticPr fontId="1" type="noConversion"/>
  </si>
  <si>
    <t>升力與阻力兩者均與機翼面積的大小成正比。在飛行速度及氣流條件相同的情況下，機翼的面積越大，所能產生的升力就越大，但同時伴隨而來的空氣阻力也會隨之增加。</t>
    <phoneticPr fontId="1" type="noConversion"/>
  </si>
  <si>
    <t>機翼的切面形狀（翼型）和幾何形狀（如展弦比、後掠角）直接決定了氣流通過時產生的壓力差（白努利定律與牛頓第三運動定律作用）。好的機翼形狀能在產生足夠升力的同時，儘可能降低空氣阻力，因此對這兩者的影響極大。</t>
    <phoneticPr fontId="1" type="noConversion"/>
  </si>
  <si>
    <t>遙控無人機的表面光滑狀況主要會影響摩擦阻力。無人機在空氣中飛行時，機體表面的粗糙度會直接影響空氣分子與機身表面產生的摩擦力大小。表面越光滑，摩擦阻力就越小，飛行效率也越高；反之，若表面粗糙，則會增加摩擦阻力，消耗更多動力。這屬於寄生阻力的一種。</t>
    <phoneticPr fontId="1" type="noConversion"/>
  </si>
  <si>
    <t>當遙控無人機表面相對光滑時，空氣流經機體時所受到的黏滯阻力較小，因此其摩擦阻力會呈現相對較小的變化。這屬於基礎飛行原理中的寄生阻力之一。</t>
    <phoneticPr fontId="1" type="noConversion"/>
  </si>
  <si>
    <t>無人飛機機翼的主要功用是產生升力，以克服飛機自身的重力，並維持機體在空中的飛行狀態與穩定性。</t>
    <phoneticPr fontId="1" type="noConversion"/>
  </si>
  <si>
    <t>機翼的主要功能與相關特點如下：機翼的主要作用提供升力：維持無人機在空中飛行。穩定和操作：維持空中穩定並提供操控功能。</t>
    <phoneticPr fontId="1" type="noConversion"/>
  </si>
  <si>
    <t>在無人飛機的機翼上，一般會安裝副翼和襟翼。副翼用來控制飛機的滾轉姿態，而襟翼則可用來增加飛機的升力。此外，依據飛行任務與設計需求，機翼上也可能安裝發動機、起落架或各種外掛載。</t>
    <phoneticPr fontId="1" type="noConversion"/>
  </si>
  <si>
    <t>動力系統主要用來產生使遙控無人機前進的力為拉力（Thrust）與推力（Push/Thrust）</t>
    <phoneticPr fontId="1" type="noConversion"/>
  </si>
  <si>
    <t>無人飛機上通常不會安裝「飛行儀表」。因為無人機是從地面（或遙控站）進行遠端操控，飛行資訊會直接傳回地面控制站或顯示在操作者的螢幕上，因此不需要像傳統載人航空器那樣在機身內安裝實體的飛行儀表。</t>
    <phoneticPr fontId="1" type="noConversion"/>
  </si>
  <si>
    <t>由前往後穿過航空器的軸稱之為航空器縱軸（X軸）。這條軸線負責控制航空器的左右滾轉（Roll）。如需了解更多關於飛行力學與航空原理的資訊，可參考交通部民用航空局的遙控無人機學科規範或維基百科上的飛行操縱面介紹。</t>
    <phoneticPr fontId="1" type="noConversion"/>
  </si>
  <si>
    <t>遙控無人機的穩定性強，表示受到擾動後擺動衰減時間短、擺動幅度小及擺動次數少（通常在民航局學科題庫中對應「以上皆是」或綜合現象）。當無人機在空中遇到氣流等干擾而偏離平衡時，能更快、更平穩地回到原本的狀態。穩定性衡量指標擺動衰減時間短：受干擾後，機身停止晃動並恢復平衡的時間很短。擺動幅度小：晃動時偏離原本飛行姿態的角度與距離很小。擺動次數少：來回擺動的頻率與次數顯著減少。</t>
    <phoneticPr fontId="1" type="noConversion"/>
  </si>
  <si>
    <t>遙控無人機穩定性的強弱，主要取決於無人機的重心位置、飛行速度、飛行高度以及攻角的變化。當這些空氣動力學與物理特性配合得當時，無人機在受到外力擾動後，才能不經人為操作自動恢復原來的平衡狀態。</t>
    <phoneticPr fontId="1" type="noConversion"/>
  </si>
  <si>
    <t>摩擦阻力的大小,決定於下列哪個特性</t>
    <phoneticPr fontId="1" type="noConversion"/>
  </si>
  <si>
    <t>重心後移會使機頭變輕、飛機縱向穩定性變差。雖然配平阻力減小可能使續航增加，但起飛時極易提前仰轉、甚至導致失速或機尾擦地；對直昇機則會嚴重惡化高速前飛性能。
【】直昇機重心太靠後會嚴重影響其高速前飛性能及穩定性。這會導致機頭在飛行中容易上仰，使飛行員必須持續推桿修正，增加操控困難度並增加負荷。</t>
    <phoneticPr fontId="1" type="noConversion"/>
  </si>
  <si>
    <t>感測器(如 I M U、陀螺儀、加速度計、氣壓計等)扮演飛控系統的「眼睛與耳朵」，提供即時狀態輸入給計算機，是維持控制精度的資訊源。</t>
    <phoneticPr fontId="1" type="noConversion"/>
  </si>
  <si>
    <t>慣性導航系統(I N S)完全不依賴外部訊號，利用機載加速度計與陀螺儀進行死算積分。隨著時間增加，其微小的量測誤差會不斷累積放大(漂移)，是其主要缺點。</t>
    <phoneticPr fontId="1" type="noConversion"/>
  </si>
  <si>
    <t>非自主式導航系統(如GNSS/GPS)高度仰賴外部衛星發射的微弱電磁波訊號，容易受到物理障礙物、強電磁、或故意干擾而失效。</t>
    <phoneticPr fontId="1" type="noConversion"/>
  </si>
  <si>
    <t>A.</t>
  </si>
  <si>
    <t>無人直昇機的主旋翼提供主要升力與前進推力，而主旋翼轉動時對機身產生的反作用扭力，必須由尾旋翼(TA.il Rotor)產生的側向推力來完全抵銷，藉此精準控制機頭的轉向與穩定。</t>
  </si>
  <si>
    <t>使得無人飛機保持靜止的特性為(A.) 慣性。
根據牛頓第一運動定律（慣性定律），物體具有保持原來靜止或等速直線運動狀態的特性。當無人飛機在地面上處於靜止狀態，且不受外力（或所受合外力為零）時，慣性會使其維持靜止不動。</t>
  </si>
  <si>
    <t>使得無人飛機保持固定的空速以直線行進的特性為(A.) 慣性。
依據牛頓第一運動定律（慣性定律），物體在不受外力或所受合力為零時，會保持原有的運動狀態。因此，若飛機保持固定的空速以直線行進，其慣性會抵抗外界的干擾，使得飛機持續保持穩定的直線飛行狀態。</t>
  </si>
  <si>
    <t>此推力為(A.) 反作用力。根據牛頓第三運動定律（作用力與反作用力定律），當噴射機將燃燒的熱氣體向後推送（作用力）時，這些氣體也會同時對飛機施加一個大小相等、方向相反的反作用力，進而推動飛機向前飛行。</t>
  </si>
  <si>
    <t>這個外力是(A.) 阻力。阻力是與飛機運動方向相反、會阻礙飛機前進的空氣動力。飛行阻力的分類寄生阻力：由飛機表面摩擦與形狀產生。誘導阻力：由機翼產生升力時所伴隨的阻力。</t>
  </si>
  <si>
    <t>無人機機身的設計都是採用(A.) 較輕的材質。設計原因減輕重量：減少地心引力帶來的負面影響。</t>
  </si>
  <si>
    <t>這題的答案是 (A.) 飛行姿態。操作人透過油門與操縱桿來改變無人機的狀態，主要是為了控制機體的俯仰、滾轉與偏航等空間位置。相關控制重點飛行姿態：控制無人機在三度空間中的移動與平衡。操縱面：如副翼、升降舵與方向舵，用來改變飛行方向。油門：調整動力輸出以配合姿態與高度變化。</t>
  </si>
  <si>
    <t>遙控無人機處於平衡狀態時，是指其速度的大小和方向都保持不變（對應一般考試選項中的 A.）。這代表作用在無人機身上的所有外力和小力矩加起來都等於零。平衡狀態重點外力與力矩：機身受到的所有外力與力矩都互相抵銷（合力與合力矩為零）。飛行表現：飛機沒有加速、減速或改變飛行方向，呈現等速直線運動或等速平飛。</t>
  </si>
  <si>
    <t>控制遙控無人機時，正確答案是 (A.) 機體中心。操作人應避免以地平面為基準，而必須以相對於機體中心來思考「上」、「下」、「左」、「右」。飛行方向思考原則基準選擇：以機體中心為座標原點與參考基準。操作要點：隨時掌握機頭朝向（順向或逆向）。依據機身自身的軸向來判斷滾轉、俯仰與偏航動作。</t>
  </si>
  <si>
    <t>無人直昇機的主旋翼提供主要升力與前進推力，而主旋翼轉動時對機身產生的反作用扭力，必須由尾旋翼(TA.il Rotor)產生的側向推力來完全抵銷，藉此精準控制機頭的轉向與穩定。
《》無人直昇機的四大基本飛行動作包含：平直飛行、轉彎、爬升及下降。
除了四大基本動作，實務操作上還包含以下進階或複合的基本動作：
第1.垂直起飛到懸停：垂直飛離地面約 2 至 3 呎，並保持航向不變
第2.懸停轉彎：指在懸停高度下，執行機鼻向左或向右轉，同時保持相對於地面的位置與高度不變 。</t>
  </si>
  <si>
    <t>B.</t>
  </si>
  <si>
    <t>航空器於飛行中，在空氣裡會產生的外力是(B.) 各種阻力。阻力重點說明定義：阻力是與飛機運動方向相反的空氣動力，會阻礙航空器向前飛行。選項比較：彈力：屬於固體形變產生的力，非空氣中主要外力。磁力：來自磁場，與大氣飛行無直接關係。正向力：為接觸面之垂直分力，不符合題意中描述空氣相對運動的外力特徵。</t>
  </si>
  <si>
    <t>重力是航空器本身之質量所受的地心引力（選項B.）。相關測驗題庫與規範可參考交通部民用航空局的遙控無人機學科測驗資料。飛行原理重點地心引力：指航空器質量所受的吸引力。過重會影響飛行表現。機身設計多用輕材料。</t>
  </si>
  <si>
    <t>此題考查基礎空氣動力學與無人機系統設計規範。無人機之重量與重心平衡(W&amp;B.)是確保飛航安全與操作性能符合原廠諸元的核心關鍵，飛行前操作人必須精確掌握並確認其皆處於安全審慎的合理限制內。
《》無人飛機機翼除了基本的副翼和襟翼外，依設計需求還可安裝發動機、起落架、油箱或外掛載等物件。具體常見物件說明如下：發動機：提供飛行推力。起落架：用於支撐飛機起降及滑行。外掛載：如各類觀測儀器、物資投放架等。油箱：儲存飛行所需的燃料。</t>
  </si>
  <si>
    <t>此題考查基礎空氣動力學與無人機系統設計規範。無人機之重量與重心平衡(W&amp;B.)是確保飛航安全與操作性能符合原廠諸元的核心關鍵，飛行前操作人必須精確掌握並確認其皆處於安全審慎的合理限制內。
《》無人飛機機身的主要功用是裝載燃油、酬載及各種設備。根據遙控無人機學科測驗規範，機身作為無人機的主體，包含以下核心裝載項目：油箱（儲存燃油）酬載（如航拍相機、感測器或貨物）各種設備（如飛行控制電腦、通訊與電力系統）</t>
  </si>
  <si>
    <t>此題考查基礎空氣動力學與無人機系統設計規範。無人機之重量與重心平衡(W&amp;B.)是確保飛航安全與操作性能符合原廠諸元的核心關鍵，飛行前操作人必須精確掌握並確認其皆處於安全審慎的合理限制內。
《》無人飛機的尾翼主要包括水平尾翼與垂直尾翼兩個物件。根據交通部民航局的學科測驗題庫，這些尾翼的細部構造為：水平尾翼：由「固定的水平安定面」和「可動的升降舵」組成。垂直尾翼：由「固定的垂直安定面」和「可動的方向舵」組成。</t>
  </si>
  <si>
    <t>此題考查基礎空氣動力學與無人機系統設計規範。無人機之重量與重心平衡(W&amp;B.)是確保飛航安全與操作性能符合原廠諸元的核心關鍵，飛行前操作人必須精確掌握並確認其皆處於安全審慎的合理限制內。
《》遙控無人機操作人在飛行前，應詳細考量在高海拔、高溫以及高濕度的情況下可能降低飛行性能的載重因素。這些環境條件會導致空氣密度降低，使螺旋槳產生的升力減少，進而大幅影響遙控無人機的爬升率與超越障礙的能力。</t>
  </si>
  <si>
    <t>此題考查基礎空氣動力學與無人機系統設計規範。無人機之重量與重心平衡(W&amp;B.)是確保飛航安全與操作性能符合原廠諸元的核心關鍵，飛行前操作人必須精確掌握並確認其皆處於安全審慎的合理限制內。
《》當遙控無人機的重心位置超出允許範圍時，會嚴重破壞機身的空氣動力平衡，可能導致無法穩定起飛、無法穩定落地、失速等情形。飛行前務必確認重量、重心及酬載皆在安全範圍內。</t>
  </si>
  <si>
    <t>C.</t>
  </si>
  <si>
    <t>原因解析🟢 (A.) 影響空氣流速與壓力差： 機翼切面的相對厚度和最大厚度位置，會直接決定空氣流經機翼上下的速度差。根據白努利定律，這會大幅改變升力大小，同時也決定了飛機的壓差阻力。🟢 (B.) 改變翼面面積與氣流結構： 機翼平面形狀（如展弦比、後掠角）影響翼尖渦流與誘導阻力。而操作襟翼（FlA.ps）和前緣翼縫（SlA.ts）則能直接增加翼型弧度與表面積，用於在低速飛行（如起降）時大幅增加升力與阻力。🟢 (C.) 決定摩擦力大小： 機翼表面的光滑狀況（粗糙度）會直接影響空氣與翼面的黏滯摩擦。表面越粗糙，邊界層越容易由層流轉變為紊流，從而顯著增加摩擦阻力。這題屬於無人機操作證學科測驗的基礎飛行原理必考題。如果您正在準備相關考試，建議多留意「影響升阻力的四大要素（攻角、飛行速度、空氣密度、航空器特點）」等延伸觀念。</t>
  </si>
  <si>
    <t>此題考查基礎空氣動力學與無人機系統設計規範。無人機之重量與重心平衡(W&amp;B.)是確保飛航安全與操作性能符合原廠諸元的核心關鍵，飛行前操作人必須精確掌握並確認其皆處於安全審慎的合理限制內。
《》遙控無人機的重心（C.enter of GrA.vity, C..G.）與穩定性有極大的關聯。當機身的重心超出允許範圍時，會破壞飛行時的力學平衡，極易導致無人機無法穩定起飛、降落，甚至會發生失速、墜毀的危險。</t>
  </si>
  <si>
    <t>D.</t>
  </si>
  <si>
    <t>每秒徑度 (rA.D./s)。</t>
  </si>
  <si>
    <t>每分鐘徑度 (rA.D./min)。</t>
  </si>
  <si>
    <t>答案是 (D.) 以上皆是。除了飛機本身的特點外，影響升力和阻力的基本因素還包含攻角、氣流速度與空氣密度。影響因素細節機翼在氣流中的相對位置（攻角）：決定氣流迎向機翼的角度，直接影響升力與阻力的大小。氣流的速度：飛行速度越快，產生的升力和阻力也越大。空氣密度：空氣越濃厚（密度高），升力和阻力也會跟著增加。</t>
  </si>
  <si>
    <t>除了混合型無人機外，大多數遙控無人機（定翼機型與通用結構）主要是由下列 5 個主要部分所組成：🟢 (A.) 機翼、機身、尾翼：機翼：提供飛行時所需的升力，以維持無人機在空中的高度。機身：用來裝載飛控系統、電池、酬載（如相機）並連結其他部件的核心骨架。尾翼：提供俯仰和偏航的穩定性，並協助控制飛行方向。🟢 (B.) 起降裝置：包含起落架或起降結構，用於保護無人機在地面停放、起飛及著陸時的穩定與安全。🟢 (C.) 動力系統：包含馬達、電子調速器（電調）、螺旋槳以及電池，負責提供無人機前進與升空所需的推力。由於選項 (A.)、(B.)、(C.) 皆屬於大多數遙控無人機不可或缺的核心組成部分，因此本題必須選擇 (D.) 以上皆是。</t>
  </si>
  <si>
    <t>無人飛機常見的動力系統包括：(A.) 航空活塞式發動機加螺旋槳推進器、(B.) 渦輪噴氣發動機，以及(C.) 渦輪螺旋槳發動機和渦輪扇或導風扇發動機。因此，正確答案為 (D.) 以上皆是。</t>
  </si>
  <si>
    <t>遙控無人機穩定性的強弱，一般由(D.) 以上皆是（包含擺動衰減時間、擺動幅度、擺動次數）來衡量。當無人機受到外力干擾後，恢復平衡的速度越快、晃動的大小越小、晃動的次數越少，代表穩定性越強。衡量穩定性的三大指標擺動衰減時間：受擾動後恢復平衡的時間長短。擺動幅度：受擾動時晃動偏離的大小心情。擺動次數：受擾動後來回晃動的總次數。</t>
  </si>
  <si>
    <t>操縱方向舵(RuD.D.er)會產生圍繞垂直軸(Z軸)的偏航力矩，使機頭產生向左或向右的偏航(YA.w)運動。</t>
  </si>
  <si>
    <t>遙控無人機系統(U A O S / R P A S)並非單指飛行載具本身，而是由機體、地面控制設備(遙控器/地面站)以及兩者之間負責傳輸指令與數據的通訊控制信號鏈路共同組成，三者缺一不可。</t>
    <phoneticPr fontId="1" type="noConversion"/>
  </si>
  <si>
    <t>飛行載具(Air Craft)本身泛指在空中飛行的本體部分，包含結構機體、提供能量的燃料或電池，以及執行任務所需的負載設備與酬載(如相機、感測器)。(D.) 選項中的遙控設備屬於地面或控制端系統，不屬於飛行載具本體。
【】三要素：機體、動力(燃料或電池)、酬載</t>
    <phoneticPr fontId="1" type="noConversion"/>
  </si>
  <si>
    <t>無論無人機自動化程度多高，其航線規劃、緊急應變、操控決策與維護依然高度仰賴操作人，因此航空安全管理中「人為因素(Human Factors)」是預防失事最核心的一環。</t>
    <phoneticPr fontId="1" type="noConversion"/>
  </si>
  <si>
    <t>地面控制站(GCS)硬體必須具備完整的上行指令傳輸、下行訊號與數據流接收，以及將接收到的遙測數據與畫面進行解調、分析、顯示的設備，因此(A.) (B.) (C.) 均包含在內。</t>
    <phoneticPr fontId="1" type="noConversion"/>
  </si>
  <si>
    <t>飛行控制系統(Flight Control System)由感測器(蒐集姿態數據)、機載計算機/飛控板(運算並輸出控制邏輯)及伺服器/舵機/電調執行機構(驅動結構面改變姿態)共同構成。</t>
    <phoneticPr fontId="1" type="noConversion"/>
  </si>
  <si>
    <t>此題考查基礎空氣動力學與無人機系統設計規範。無人機之重量與重心平衡(W&amp;B)是確保飛航安全與操作性能符合原廠諸元的核心關鍵，飛行前操作人必須精確掌握並確認其皆處於安全審慎的合理限制內。</t>
    <phoneticPr fontId="1" type="noConversion"/>
  </si>
  <si>
    <t>此題考查基礎空氣動力學與無人機系統設計規範。無人機之重量與重心平衡(W&amp;B)是確保飛航安全與操作性能符合原廠諸元的核心關鍵，飛行前操作人必須精確掌握並確認其皆處於安全審慎的合理限制內。
《》遙控無人機技術未來將朝向高精度、高可靠度以及高抗干擾等三大方向全面發展。為了因應更複雜的飛行任務與環境，無人機系統不僅在定位與控制上要求更精準，其硬體穩定性與通訊抗干擾能力也持續提升，以確保飛行安全與作業效率。</t>
    <phoneticPr fontId="1" type="noConversion"/>
  </si>
  <si>
    <t>此題考查基礎空氣動力學與無人機系統設計規範。無人機之重量與重心平衡(W&amp;B)是確保飛航安全與操作性能符合原廠諸元的核心關鍵，飛行前操作人必須精確掌握並確認其皆處於安全審慎的合理限制內。
《》遙控無人機導航與自動避讓系統的發展重點包括：慣性導航、多感應器融合與 GPS 定位，以及光電系統技術整合。這些關鍵技術能確保無人機在飛行中精準定位並及時避開障礙物，達到安全自主飛行的目的。依據交通部民用航空局的遙控無人機學科測驗規範，詳細重點包含：(A.) 慣性導航：利用陀螺儀與加速度計，在無 GPS 訊號的環境下也能輔助計算飛行軌跡。(B.) 多感應器融合、GPS：結合全球定位系統及多種感測器數據，提供穩定且高精度的座標與航向資訊。(C.) 光電系統技術整合：結合視覺影像與感測器，協助無人機辨識周遭環境，實現自動避障。</t>
    <phoneticPr fontId="1" type="noConversion"/>
  </si>
  <si>
    <t>此題考查基礎空氣動力學與無人機系統設計規範。無人機之重量與重心平衡(W&amp;B)是確保飛航安全與操作性能符合原廠諸元的核心關鍵，飛行前操作人必須精確掌握並確認其皆處於安全審慎的合理限制內。
《》遙控無人機的動力系統均朝向體積小、重量輕、成本低、可靠度高的方向發展。這不僅有助於提升無人機的續航力與酬載能力，也能確保飛行任務的安全與穩定。</t>
    <phoneticPr fontId="1" type="noConversion"/>
  </si>
  <si>
    <t>負責對遙控無人機進行命令與控制（Command and Control, C2）以及資料鏈路等工作的系統是無線通訊系統。它主要負責將地面端的控制訊號傳送給無人機，並將機上的狀態或圖傳資料回傳。</t>
    <phoneticPr fontId="1" type="noConversion"/>
  </si>
  <si>
    <t>為確保保密性與抗干擾能力，遙控無人機（UAV）的控制鏈路基本上已全面採行(C) 數位化。數位化傳輸技術允許系統導入跳頻（FHSS）、直接序列展頻（DSSS）及加密演算法，不僅大幅降低被攔截與破解的風險，也能有效抵抗外界電磁波干擾，保障飛行安全與訊號穩定。詳細學科題庫與測驗規範可參考交通部民用航空局相關指引。</t>
    <phoneticPr fontId="1" type="noConversion"/>
  </si>
  <si>
    <t>航空器利用噴射推力或螺旋槳的拉力，使機身產生前進的速度，並讓流過機翼的氣流產生壓差，進而產生 (B.) 升力 而在空中飛行。飛行器在飛行時，主要會受到四種作用力的影響：推力 (Thrust)：由噴射發動機或螺旋槳產生，用以克服空氣阻力並提供前進的動力。升力 (Lift)：氣流流經機翼上下表面產生壓力差（柏努利定律），將航空器托起，使其能夠對抗重力飛行。重力 (Weight)：地球對航空器的引力。阻力 (Drag)：機身與空氣摩擦產生的反作用力，與飛行方向相反。</t>
    <phoneticPr fontId="1" type="noConversion"/>
  </si>
  <si>
    <t>無人直昇機的主旋翼提供主要升力與前進推力，而主旋翼轉動時對機身產生的反作用扭力，必須由尾旋翼(Tail Rotor)產生的側向推力來完全抵銷，藉此精準控制機頭的轉向與穩定。</t>
    <phoneticPr fontId="1" type="noConversion"/>
  </si>
  <si>
    <t>遙控無人機在空中飛行時，主要會受到升力、推力、阻力與重力這四種基本作用力的影響。這四力處於相互平衡或拉扯的狀態，決定了無人機的飛行姿態：
第1.升力 (Lift)：由旋翼或機翼提供，方向向上，用來克服機體重量，使無人機升空。
第2.推力 (Thrust)：由動力系統（發動機與螺旋槳）提供，方向向前，用來推動無人機前進。
第3.阻力 (Drag)：由空氣產生，方向向後，會阻礙無人機的前進。
第4.重力 (Gravity)：由地心引力產生，方向向下，將無人機拉向地面。</t>
    <phoneticPr fontId="1" type="noConversion"/>
  </si>
  <si>
    <t>連續性定理(Continuity Equation)基於質量守恆定律，闡述在密閉管道中流體流動時，管道切面積與流速成反比。切面積越小的地方，流速越快。
【】連續方程式：Q = A V</t>
    <phoneticPr fontId="1" type="noConversion"/>
  </si>
  <si>
    <t>連續性定理(Continuity Equation)基於質量守恆定律，闡述在密閉管道中流體流動時，管道切面積與流速成反比。切面積越小的地方，流速越快。
【】連續方程式：Q = A V</t>
    <phoneticPr fontId="1" type="noConversion"/>
  </si>
  <si>
    <t>柏努利定律(Bernoulli's principle)是流體力學核心，又稱伯努利定律或白努力定律，是流體力學中的核心原理。簡單來說，它指出：流體的流速越快，其壓力就越小；反之，流速越慢，壓力就越大。這項原理實質上是能量守恆定律在流體流動上的具體展現。
這正解釋了機翼上方因弧度大流速快而產生向上吸力(低壓)的基本物理機制。</t>
    <phoneticPr fontId="1" type="noConversion"/>
  </si>
  <si>
    <t>柏努利定律(Bernoulli's principle)是流體力學核心，又稱伯努利定律或白努力定律，是流體力學中的核心原理。簡單來說，它指出：流體的流速越快，其壓力就越小；反之，流速越慢，壓力就越大。這項原理實質上是能量守恆定律在流體流動上的具體展現。
這正解釋了機翼上方因弧度大流速快而產生向上吸力(低壓)的基本物理機制。</t>
    <phoneticPr fontId="1" type="noConversion"/>
  </si>
  <si>
    <t>柏努利定律(Bernoulli's principle)是流體力學核心，又稱伯努利定律或白努力定律，是流體力學中的核心原理。簡單來說，它指出：流體的流速越快，其壓力就越小；反之，流速越慢，壓力就越大。這項原理實質上是能量守恆定律在流體流動上的具體展現。
這正解釋了機翼上方因弧度大流速快而產生向上吸力(低壓)的基本物理機制。</t>
    <phoneticPr fontId="1" type="noConversion"/>
  </si>
  <si>
    <t>柏努利定律(Bernoulli's principle)是流體力學核心，又稱伯努利定律或白努力定律，是流體力學中的核心原理。簡單來說，它指出：流體的流速越快，其壓力就越小；反之，流速越慢，壓力就越大。這項原理實質上是能量守恆定律在流體流動上的具體展現。
這正解釋了機翼上方因弧度大流速快而產生向上吸力(低壓)的基本物理機制。</t>
    <phoneticPr fontId="1" type="noConversion"/>
  </si>
  <si>
    <t>寄生阻力（Parasite Drag）是流體力學與航空學中的重要概念，指物體在空氣或液體中移動時，由於流體黏度與壓力差所產生的阻力。
它不參與升力的產生，其大小與飛行速度的平方呈正比。它主要由以下三部分組成：表面【摩擦阻力】（Skin Friction Drag）：空氣流經物體表面時，因空氣黏性與表面粗糙度產生的摩擦阻力。【形狀阻力】（Form Drag）：物體形狀（如迎風面積）造成的壓力差，當氣流分離並在物體後方產生亂流時形成。【干擾阻力】（Interference Drag）：飛機不同部件交接處（如機翼與機身的連接處）氣流相互干擾產生的額外阻力。</t>
    <phoneticPr fontId="1" type="noConversion"/>
  </si>
  <si>
    <t>摩擦阻力是由於空氣的粘性(Viscosity)引起的。空氣流經飛行器表面時會產生剪切應力，表面越粗糙、與空氣接觸的表面積越大、空氣粘性越高，摩擦阻力就越大。</t>
    <phoneticPr fontId="1" type="noConversion"/>
  </si>
  <si>
    <t>摩擦阻力是由於空氣的粘性(Viscosity)引起的。空氣流經飛行器表面時會產生剪切應力，表面越粗糙、與空氣接觸的表面積越大、空氣粘性越高，摩擦阻力就越大。</t>
    <phoneticPr fontId="1" type="noConversion"/>
  </si>
  <si>
    <t>此題考查基礎空氣動力學與無人機系統設計規範。無人機之重量與重心平衡(W&amp;B.)是確保飛航安全與操作性能符合原廠諸元的核心關鍵，飛行前操作人必須精確掌握並確認其皆處於安全審慎的合理限制內。
《》空氣流經飛機表面時，因空氣的黏性與機身表面產生作用而產生的阻力，稱為摩擦阻力（Skin Friction Drag）。它屬於寄生阻力的一種，大小取決於空氣的黏度、飛機表面的粗糙度，以及與空氣接觸的表面積大小。</t>
    <phoneticPr fontId="1" type="noConversion"/>
  </si>
  <si>
    <t>摩擦阻力是由於空氣的粘性(Viscosity)引起的。空氣流經飛行器表面時會產生剪切應力，表面越粗糙、與空氣接觸的表面積越大、空氣粘性越高，摩擦阻力就越大。
當我們在探討空氣動力學或流體力學中的「摩擦阻力」時，其大小主要決定於三個特性：空氣的黏性、物體的表面狀況（光滑度），以及與空氣相接觸的物體表面積。具體影響如下：空氣的黏性：黏性越大，產生的摩擦阻力越大。物體表面狀況：表面越粗糙，產生的摩擦阻力越大。接觸表面積：與流體（如空氣）接觸的表面積越大，摩擦阻力越大。</t>
    <phoneticPr fontId="1" type="noConversion"/>
  </si>
  <si>
    <t>摩擦阻力是由於空氣的粘性(Viscosity)引起的。空氣流經飛行器表面時會產生剪切應力，表面越粗糙、與空氣接觸的表面積越大、空氣粘性越高，摩擦阻力就越大。
空氣粘性越大，摩擦阻力就會變得越大。當氣體（或液體）流過物體表面時，由於流體本身的粘滯特性，會產生阻礙物體前進的摩擦力。根據基礎飛行原理，摩擦阻力的大小主要取決於空氣粘性、物體表面粗糙度以及與空氣接觸的表面積；這三項數值與摩擦阻力皆成正比。</t>
    <phoneticPr fontId="1" type="noConversion"/>
  </si>
  <si>
    <t>摩擦阻力是由於空氣的粘性(Viscosity)引起的。空氣流經飛行器表面時會產生剪切應力，表面越粗糙、與空氣接觸的表面積越大、空氣粘性越高，摩擦阻力就越大。
飛機表面越粗糙，其摩擦阻力就會越大。根據航空飛行原理，當空氣流經飛機表面時，由於空氣具有黏性，會產生阻礙飛機前進的摩擦阻力。飛機表面若越粗糙，緊貼表面的氣流越容易產生亂流，導致摩擦阻力增加。為了減少此阻力，飛機通常會保持表面平滑、乾淨，並使用埋頭鉚釘以維持表面流暢。</t>
    <phoneticPr fontId="1" type="noConversion"/>
  </si>
  <si>
    <t>摩擦阻力是由於空氣的粘性(Viscosity)引起的。空氣流經飛行器表面時會產生剪切應力，表面越粗糙、與空氣接觸的表面積越大、空氣粘性越高，摩擦阻力就越大。
飛機表面積越大，摩擦阻力就會變大。根據航空飛行原理，當空氣流過飛機表面時，由於空氣的黏性會產生阻礙飛機前進的摩擦力。摩擦阻力的大小主要取決於三個因素：空氣黏性、表面粗糙度，以及飛機與空氣接觸的表面積。因此，當接觸面積增加時，摩擦阻力也會隨之升高。</t>
    <phoneticPr fontId="1" type="noConversion"/>
  </si>
  <si>
    <t>遙控無人飛機的機身與尾翼（或其他相鄰部件）接合處，因氣流相互干擾會產生干擾阻力（Interference Drag）。這屬於寄生阻力的一種，常見於機身與機翼、機身與尾翼等交接處。</t>
    <phoneticPr fontId="1" type="noConversion"/>
  </si>
  <si>
    <t>因升力產生渦流而發生的阻力稱為誘導阻力（Induced Drag）。這是飛行器在產生升力時，由於機翼上下壓力差導致氣流在翼尖捲起渦流，使升力向量向後傾斜所產生的附加阻力。誘導阻力重點成因：機翼產生升力現象：形成翼尖渦流影響：速度越慢，產生的誘導阻力越大</t>
    <phoneticPr fontId="1" type="noConversion"/>
  </si>
  <si>
    <t>干擾阻力是指無人機各組件(如機身與機翼、機身與尾翼接合處)在氣流交會時相互干擾、產生額外渦流所引起的附加阻力。</t>
    <phoneticPr fontId="1" type="noConversion"/>
  </si>
  <si>
    <t>誘導阻力(Induced Drag)是機翼產生升力時不可避免的代價。由於下表面高壓氣流翻越翼尖流向在上表面的低壓區，會在翼尖形成翼尖渦流，將相對氣流向下方偏轉，使總空氣動力後傾而產生阻力要素。</t>
    <phoneticPr fontId="1" type="noConversion"/>
  </si>
  <si>
    <t>相對氣流方向與翼弦所夾的角度稱為攻角（Angle of Attack，簡稱 A O A），在部分航空領域與學科考試中也稱為迎角。它直接影響機翼產生的升力大小。</t>
    <phoneticPr fontId="1" type="noConversion"/>
  </si>
  <si>
    <t>臨界攻角(Critical Angle of Attack)是機翼能夠獲得最大升力的極限角度。當攻角小於臨界攻角時，增大攻角會使升力增加；一旦超過該角度，氣流將在機翼表面發生劇烈分離，導致失速(Stall)。</t>
    <phoneticPr fontId="1" type="noConversion"/>
  </si>
  <si>
    <t>操縱副翼(Ailerons)可以改變左右機翼的升力差，進而使無人機圍繞縱軸(X軸)產生滾轉(Roll)動作。</t>
    <phoneticPr fontId="1" type="noConversion"/>
  </si>
  <si>
    <t>水平尾翼通常由固定的水平安定面和可動的升降舵組成，用以控制無人機的俯仰(Pitch)平衡與姿態。</t>
    <phoneticPr fontId="1" type="noConversion"/>
  </si>
  <si>
    <t>根據交通部民用航空局發布的《遙控無人機學科測驗規範》，無人飛機的起落架除了煞車系統、轉向系統之外，大都由減震支柱和機輪等組成。
選項(A.) 減震支柱和機輪：正確。減震支柱用來吸收著陸時的衝擊力，機輪則用於地面滑行與支撐機身；均屬於起落架之組成物件。
選項(B.) 蒙皮和鉚釘：錯誤。這是組成飛機機身結構與外殼的主要物件，而非起落架。
選項(C.) 坡頂桁架和平行弦桁架：錯誤。這是建築工程或橋梁結構中常見的桁架種類，與飛機結構無關。
選項(D.) 拉力元件和扭力元件：錯誤。這屬於力學分析中的受力元件分類，非起落架的主要組成物件。</t>
    <phoneticPr fontId="1" type="noConversion"/>
  </si>
  <si>
    <t>選項分析與說明：
(A.) 起飛時：起飛在地面滑跑加速時，起落架必須支撐全機重量，直到飛機獲得足夠升力離地為止。
(B.) 著陸滑跑時：飛機降落接觸地面的瞬間，起落架的減震支柱需要吸收巨大的衝擊力，並在隨後的滑跑減速過程中持續支撐機體。
(C.) 地面滑行和停放時：在地面移動（滑行）前往跑道，或是靜止停放在停機坪時，無人機完全依靠起落架來承載所有重量並保持機身穩定。
綜上，起落架（起落裝置）的核心功能就是負責無人機在所有地面階段與起降過程中的支撐與緩衝。
因此選擇 (D.) 以上皆是，才是最完整的敘述。</t>
    <phoneticPr fontId="1" type="noConversion"/>
  </si>
  <si>
    <t>正確答案是 (C.) 方向舵。因為航空器主要利用副翼來控制左右滾轉（Roll）。然而，當操作方向舵控制飛機偏航（Yaw，即左右轉向）時，會產生「滾轉偏航耦合」（Roll-Yaw Coupling）現象。當方向舵偏轉使飛機轉向時，外側機翼的速度會大於內側機翼。速度較快的外側機翼會產生較大的升力，進而導致飛機向轉彎內側傾斜（產生滾轉）。因此，方向舵對於航空器的滾轉也會有明顯影響。</t>
    <phoneticPr fontId="1" type="noConversion"/>
  </si>
  <si>
    <t>想像為一條上下兩面垂直地穿過航空器的軸，稱之為航空器垂直軸（Z軸）。航空器在三度空間中的運動主要圍繞這三條假想軸旋轉：垂直軸（Z軸）：上下垂直穿過，控制航空器的偏航（Yaw，左右機頭轉向）。縱軸（X軸）：由前至後穿過，控制航空器的滾轉（Roll，左右機翼傾斜）。橫軸（Y軸）：左右穿過翼尖，控制航空器的俯仰（Pitch，機頭上下擺動）。</t>
    <phoneticPr fontId="1" type="noConversion"/>
  </si>
  <si>
    <t>了解遙控無人機的操作原理時，我們首要必須了解無人機的操縱性（Controllability）。操縱性是指無人機在操作人控制升降舵、方向舵和副翼時，改變飛行狀態（如俯仰、滾轉與偏航）的特性。這關係到飛機能否確實執行起飛、降落、轉彎等動作，是實現安全飛行的最基礎關鍵。若要全面掌握飛行原理，通常還需搭配另外兩大核心特性：平衡性：指飛行器在特定狀態下（如速度、方向不變），無外力干擾時的穩定狀態。穩定性：指無人機受到外力干擾（如陣風）偏離平衡後，能自動恢復原狀的能力。</t>
    <phoneticPr fontId="1" type="noConversion"/>
  </si>
  <si>
    <t>此題考查基礎空氣動力學與無人機系統設計規範。無人機之重量與重心平衡(W&amp;B)是確保飛航安全與操作性能符合原廠諸元的核心關鍵，飛行前操作人必須精確掌握並確認其皆處於安全審慎的合理限制內。
《》遙控無人機操縱性好，表示該機具有操縱動作簡單、操縱省力，以及飛機反應快的現象。當這些特性表現良好時，代表飛機能迅速且輕鬆地回應操作者的控制指令，執行俯仰、方向和橫向等飛行狀態的改變。</t>
    <phoneticPr fontId="1" type="noConversion"/>
  </si>
  <si>
    <t>此題考查基礎空氣動力學與無人機系統設計規範。無人機之重量與重心平衡(W&amp;B)是確保飛航安全與操作性能符合原廠諸元的核心關鍵，飛行前操作人必須精確掌握並確認其皆處於安全審慎的合理限制內。
《》遙控無人機的操作包含四大基本動作：平直飛行、轉彎、爬升、下降。這些基本動作是飛行的核心基礎：
第1.平直飛行：維持固定的高度、速度與航向，保持直線水平前進。
第2.轉彎：利用改變機頭指向（偏航）或機身傾斜（滾轉）來變更飛行方向。
第3.爬升：增加發動機推力或調整旋翼螺距，使無人機垂直向上飛行。
第4.下降：減少推力，使無人機受重力影響而垂直向下飛行。</t>
    <phoneticPr fontId="1" type="noConversion"/>
  </si>
  <si>
    <t>操縱副翼(Ailerons)可以改變左右機翼的升力差，進而使無人機圍繞縱軸(X軸)產生滾轉(Roll)動作。
根據民航局遙控無人機學科測驗規範與飛行原理：右下左上：當搖桿往左下方偏，左側副翼會向上擺動，右側副翼向下擺動。力矩產生：左側升力減小、右側升力增加，這股差動的氣動力會推動左機翼向下、右機翼向上，使飛機向左側傾斜滾轉。</t>
    <phoneticPr fontId="1" type="noConversion"/>
  </si>
  <si>
    <t>操縱副翼(Ailerons)可以改變左右機翼的升力差，進而使無人機圍繞縱軸(X軸)產生滾轉(Roll)動作。
根據民航局遙控無人機學科測驗規範與飛行原理：右下左上：當搖桿往左下方偏，左側副翼會向上擺動，右側副翼向下擺動。力矩產生：左側升力減小、右側升力增加，這股差動的氣動力會推動左機翼向下、右機翼向上，使飛機向左側傾斜滾轉。</t>
    <phoneticPr fontId="1" type="noConversion"/>
  </si>
  <si>
    <t>操縱方向舵(Rudder)會產生圍繞垂直軸(Z軸)的偏航力矩，使機頭產生向左或向右的偏航(Yaw)運動。</t>
    <phoneticPr fontId="1" type="noConversion"/>
  </si>
  <si>
    <t>無人直昇機的主旋翼提供主要升力與前進推力，而主旋翼轉動時對機身產生的反作用扭力，必須由尾旋翼(Tail Rotor)產生的側向推力來完全抵銷，藉此精準控制機頭的轉向與穩定。</t>
    <phoneticPr fontId="1" type="noConversion"/>
  </si>
  <si>
    <t>無人直昇機的主旋翼提供主要升力與前進推力，而主旋翼轉動時對機身產生的反作用扭力，必須由尾旋翼(Tail Rotor)產生的側向推力來完全抵銷，藉此精準控制機頭的轉向與穩定。</t>
    <phoneticPr fontId="1" type="noConversion"/>
  </si>
  <si>
    <t>無人直昇機的主旋翼提供主要升力與前進推力，而主旋翼轉動時對機身產生的反作用扭力，必須由尾旋翼(Tail Rotor)產生的側向推力來完全抵銷，藉此精準控制機頭的轉向與穩定。</t>
    <phoneticPr fontId="1" type="noConversion"/>
  </si>
  <si>
    <t>無人直昇機的主旋翼提供主要升力與前進推力，而主旋翼轉動時對機身產生的反作用扭力，必須由尾旋翼(Tail Rotor)產生的側向推力來完全抵銷，藉此精準控制機頭的轉向與穩定。
《》無人直昇機主旋翼的槳葉片俯仰角愈大時，空氣對葉片產生的升力會增加，同時葉片旋轉所產生的反作用扭力也會隨之變大。因此，會有「升力愈大，扭力也愈大」的情形。</t>
    <phoneticPr fontId="1" type="noConversion"/>
  </si>
  <si>
    <t>無人直昇機的主旋翼提供主要升力與前進推力，而主旋翼轉動時對機身產生的反作用扭力，必須由尾旋翼(Tail Rotor)產生的側向推力來完全抵銷，藉此精準控制機頭的轉向與穩定。
《》無人直昇機尾旋翼的主要功能為抵消主旋翼產生的反扭力，並透過調整尾旋翼的螺距來控制機頭的轉向（偏航）。當主旋翼旋轉時，根據牛頓第三運動定律，機身會受到相反方向的力矩而旋轉；尾旋翼即是用來產生反向推力以保持機身穩定，讓飛行員能精準控制直昇機方向。</t>
    <phoneticPr fontId="1" type="noConversion"/>
  </si>
  <si>
    <t>無人直昇機的主旋翼提供主要升力與前進推力，而主旋翼轉動時對機身產生的反作用扭力，必須由尾旋翼(Tail Rotor)產生的側向推力來完全抵銷，藉此精準控制機頭的轉向與穩定。
《》無人直昇機的四大基本飛行動作包含：平直飛行、轉彎、爬升及下降。
除了四大基本動作，實務操作上還包含以下進階或複合的基本動作：
第1.垂直起飛到懸停：垂直飛離地面約 2 至 3 呎，並保持航向不變
第2.懸停轉彎：指在懸停高度下，執行機鼻向左或向右轉，同時保持相對於地面的位置與高度不變 。</t>
    <phoneticPr fontId="1" type="noConversion"/>
  </si>
  <si>
    <t>無人直昇機的主旋翼提供主要升力與前進推力，而主旋翼轉動時對機身產生的反作用扭力，必須由尾旋翼(Tail Rotor)產生的側向推力來完全抵銷，藉此精準控制機頭的轉向與穩定。
《》無人直昇機的四大基本飛行動作包含：平直飛行、轉彎、爬升及下降。
除了四大基本動作，實務操作上還包含以下進階或複合的基本動作：
第1.垂直起飛到懸停：垂直飛離地面約 2 至 3 呎，並保持航向不變
第2.懸停轉彎：指在懸停高度下，執行機鼻向左或向右轉，同時保持相對於地面的位置與高度不變 。</t>
    <phoneticPr fontId="1" type="noConversion"/>
  </si>
  <si>
    <t>無人直昇機的主旋翼提供主要升力與前進推力，而主旋翼轉動時對機身產生的反作用扭力，必須由尾旋翼(Tail Rotor)產生的側向推力來完全抵銷，藉此精準控制機頭的轉向與穩定。
《》無人直昇機的四大基本飛行動作包含：平直飛行、轉彎、爬升及下降。
除了四大基本動作，實務操作上還包含以下進階或複合的基本動作：
第1.垂直起飛到懸停：垂直飛離地面約 2 至 3 呎，並保持航向不變
第2.懸停轉彎：指在懸停高度下，執行機鼻向左或向右轉，同時保持相對於地面的位置與高度不變 。所謂「懸停轉彎」,係指高度、轉彎率及轉速狀態保持不變。</t>
    <phoneticPr fontId="1" type="noConversion"/>
  </si>
  <si>
    <t>無人直昇機的主旋翼提供主要升力與前進推力，而主旋翼轉動時對機身產生的反作用扭力，必須由尾旋翼(Tail Rotor)產生的側向推力來完全抵銷，藉此精準控制機頭的轉向與穩定。
《》所謂「懸停」,係指高度狀態保持不變；「向前懸停」即無人直昇機向前移動到另一特定位置。</t>
    <phoneticPr fontId="1" type="noConversion"/>
  </si>
  <si>
    <t>無人直昇機的主旋翼提供主要升力與前進推力，而主旋翼轉動時對機身產生的反作用扭力，必須由尾旋翼(Tail Rotor)產生的側向推力來完全抵銷，藉此精準控制機頭的轉向與穩定。
《》所謂「懸停」,係指高度狀態保持不變；「向前懸停」即無人直昇機向前移動到另一特定位置，而且地面速度。高度及航向均保持不變。</t>
    <phoneticPr fontId="1" type="noConversion"/>
  </si>
  <si>
    <t>無人直昇機的主旋翼提供主要升力與前進推力，而主旋翼轉動時對機身產生的反作用扭力，必須由尾旋翼(Tail Rotor)產生的側向推力來完全抵銷，藉此精準控制機頭的轉向與穩定。
《》「向前懸停」即無人直昇機向前移動到另一特定位置，當狀況無法執行向前飛行時,可改用側向懸停飛行或向後懸停飛行。</t>
    <phoneticPr fontId="1" type="noConversion"/>
  </si>
  <si>
    <t>無人直昇機的主旋翼提供主要升力與前進推力，而主旋翼轉動時對機身產生的反作用扭力，必須由尾旋翼(Tail Rotor)產生的側向推力來完全抵銷，藉此精準控制機頭的轉向與穩定。
《》所謂「懸停」,係指高度狀態保持不變；「側向懸停」即無人直昇機橫向移到另一特定位置，而且地面速度。高度及航向均保持不變。</t>
    <phoneticPr fontId="1" type="noConversion"/>
  </si>
  <si>
    <t>無人直昇機的主旋翼提供主要升力與前進推力，而主旋翼轉動時對機身產生的反作用扭力，必須由尾旋翼(Tail Rotor)產生的側向推力來完全抵銷，藉此精準控制機頭的轉向與穩定。
《》所謂「懸停」,係指高度狀態保持不變；「向後懸停」即無人直昇機向後移到另一特定位置，而且地面速度。高度及航向均保持不變。</t>
    <phoneticPr fontId="1" type="noConversion"/>
  </si>
  <si>
    <t>無人直昇機的主旋翼提供主要升力與前進推力，而主旋翼轉動時對機身產生的反作用扭力，必須由尾旋翼(Tail Rotor)產生的側向推力來完全抵銷，藉此精準控制機頭的轉向與穩定。
《》所謂「懸停」,係指高度狀態保持不變；「向後懸停」即無人直昇機向後移到另一特定位置，而且地面速度。高度及航向均保持不變。</t>
    <phoneticPr fontId="1" type="noConversion"/>
  </si>
  <si>
    <t>無人直昇機的主旋翼提供主要升力與前進推力，而主旋翼轉動時對機身產生的反作用扭力，必須由尾旋翼(Tail Rotor)產生的側向推力來完全抵銷，藉此精準控制機頭的轉向與穩定。
《》所謂「平直飛行」即無人直昇機向後移到另一特定位置，而且高度及航向均保持不變；不考慮速度。</t>
    <phoneticPr fontId="1" type="noConversion"/>
  </si>
  <si>
    <t>無人直昇機的主旋翼提供主要升力與前進推力，而主旋翼轉動時對機身產生的反作用扭力，必須由尾旋翼(Tail Rotor)產生的側向推力來完全抵銷，藉此精準控制機頭的轉向與穩定。
《》所謂無人直昇機「傾斜轉彎」,係指保持在向左或向右的傾斜狀態；高度不變,但航向改變。</t>
    <phoneticPr fontId="1" type="noConversion"/>
  </si>
  <si>
    <t>無人直昇機的主旋翼提供主要升力與前進推力，而主旋翼轉動時對機身產生的反作用扭力，必須由尾旋翼(Tail Rotor)產生的側向推力來完全抵銷，藉此精準控制機頭的轉向與穩定。
《》無人直昇機「偏航」,係指利用尾旋翼推力執行改變航向的操縱。</t>
    <phoneticPr fontId="1" type="noConversion"/>
  </si>
  <si>
    <t>此題考查基礎空氣動力學與無人機系統設計規範。無人機之重量與重心平衡(W&amp;B)是確保飛航安全與操作性能符合原廠諸元的核心關鍵，飛行前操作人必須精確掌握並確認其皆處於安全審慎的合理限制內。
【】飛行前必須確認的合理範圍包含：
(A.) 重量：確保總重符合機型限制，避免影響飛行性能與續航力。
(B.) 重心：確保重心位置在允許的平衡範圍內，避免機身失控或俯仰配平困難。
(C.) 酬載：確認裝載的設備或貨物重量沒有超過最大載重限制。</t>
    <phoneticPr fontId="1" type="noConversion"/>
  </si>
  <si>
    <t>此題考查基礎空氣動力學與無人機系統設計規範。無人機之重量與重心平衡(W&amp;B.)是確保飛航安全與操作性能符合原廠諸元的核心關鍵，飛行前操作人必須精確掌握並確認其皆處於安全審慎的合理限制內。
《》遙控無人機重力的著力點稱為重心（Center of Gravity, C.G.）。重心位置與飛行穩定性有極大的關聯，若超出允許的載重平衡範圍，極易導致無法穩定起飛、操控困難甚至失速墜毀。</t>
    <phoneticPr fontId="1" type="noConversion"/>
  </si>
  <si>
    <t>此題考查基礎空氣動力學與無人機系統設計規範。無人機之重量與重心平衡(W&amp;B)是確保飛航安全與操作性能符合原廠諸元的核心關鍵，飛行前操作人必須精確掌握並確認其皆處於安全審慎的合理限制內。
《》遙控無人機在飛行時，為了產生爬升、下降、傾斜或轉彎等各種不同的飛行姿態，作用於機身上的空氣動力（升力）通常需要克服並大於自身的重量。
在空氣動力學中，升力與重力的比值稱為「負載係數」，用以表達姿態動作的大小。</t>
    <phoneticPr fontId="1" type="noConversion"/>
  </si>
  <si>
    <t>此題考查基礎空氣動力學與無人機系統設計規範。無人機之重量與重心平衡(W&amp;B)是確保飛航安全與操作性能符合原廠諸元的核心關鍵，飛行前操作人必須精確掌握並確認其皆處於安全審慎的合理限制內。
《》為了要抵銷所增加的離心力。當無人機的速度增加時，為了保持固定的負載係數，必須調整轉彎率（通常是降低轉彎率）以抵銷隨速度增加而變大的離心力。</t>
    <phoneticPr fontId="1" type="noConversion"/>
  </si>
  <si>
    <t>此題考查基礎空氣動力學與無人機系統設計規範。無人機之重量與重心平衡(W&amp;B)是確保飛航安全與操作性能符合原廠諸元的核心關鍵，飛行前操作人必須精確掌握並確認其皆處於安全審慎的合理限制內。
《》遙控無人機轉彎時，由於部分升力必須轉為向心力以維持轉彎軌跡，導致垂直方向的升力相對不足。為了補償此不足並保持高度，必須執行 增加攻角 的動作（如向後拉動升降舵桿），藉此提升機翼或旋翼產生的升力。</t>
    <phoneticPr fontId="1" type="noConversion"/>
  </si>
  <si>
    <t>重心後移會使機頭變輕、飛機縱向穩定性變差。雖然配平阻力減小可能使續航增加，但起飛時極易提前仰轉、甚至導致失速或機尾擦地；對直昇機則會嚴重惡化高速前飛性能。
《》無人飛機重心後移時，配平阻力與總阻力減小，所需推力隨之降低，進而導致油耗減少、續航能力增加、失速速度減小等情形。
詳細原理如下：油耗減少：由於重心後移使飛機水平尾翼產生的下向負升力減少，機翼配平阻力（Trim Drag）與全機總阻力下降，發動機維持平飛所需的推力降低，油耗隨之減少。續航能力增加：推力需求與油耗降低，使電池或燃料的使用效率提升，延長了滯空時間與航程。失速速度減小：因配平所需升力減小，機翼迎角（Angle of Attach）有效降低，低速飛行時更不易失速。</t>
    <phoneticPr fontId="1" type="noConversion"/>
  </si>
  <si>
    <t>此題考查基礎空氣動力學與無人機系統設計規範。無人機之重量與重心平衡(W&amp;B)是確保飛航安全與操作性能符合原廠諸元的核心關鍵，飛行前操作人必須精確掌握並確認其皆處於安全審慎的合理限制內。</t>
    <phoneticPr fontId="1" type="noConversion"/>
  </si>
  <si>
    <t>此題考查基礎空氣動力學與無人機系統設計規範。無人機之重量與重心平衡(W&amp;B)是確保飛航安全與操作性能符合原廠諸元的核心關鍵，飛行前操作人必須精確掌握並確認其皆處於安全審慎的合理限制內。
【】本題標準答案有問題！！！因為遙控無人機在升力與推力皆大於重力與阻力時，代表機體同時具備向上及向前的淨力（合力），因此其運動方向為 (C.) 傾斜向上。
這項原理在交通部民用航空局 的 遙控無人機學科測驗指南 中有詳細說明：垂直方向：當升力大於重力時，會產生向上的運動。水平方向：當推力大於阻力時，會產生向前（或加速）的運動。兩者合力之下，飛行軌跡便會呈現傾斜向上。
如果升力與推力大於重力與阻力， 即升力大於重力，推力大於阻力，遙控無人機的運動方向應是垂直向上同時向前，......【但本題標準答案是
這正是飛行器（如飛機或無人機）能升空與加速的關鍵物理原理。當合力大於零時，物體便會產生加速度：升力大於重力能使飛行器向上爬升，而推力大於阻力則能使飛行器向前加速。
飛行時所受的四個基本作用力如下：升力 (Lift)：由機翼或旋翼產生，用來克服地心引力。推力 (Thrust)：由引擎或動力系統產生，提供前進的動力。重力 (Weight)：地球對飛行器的引力（即重量）。阻力 (Drag)：空氣對機體產生的摩擦與反作用力。當飛行器處於等速水平直線飛行的狀態時，這四個力會呈現完美的平衡，此時升力等於重力，推力等於阻力。</t>
    <phoneticPr fontId="1" type="noConversion"/>
  </si>
  <si>
    <t>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</si>
</sst>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新細明體"/>
      <family val="2"/>
      <scheme val="minor"/>
    </font>
    <font>
      <sz val="9"/>
      <name val="新細明體"/>
      <family val="3"/>
      <charset val="136"/>
      <scheme val="minor"/>
    </font>
    <font>
      <b/>
      <sz val="11"/>
      <color theme="1"/>
      <name val="新細明體"/>
      <family val="1"/>
      <charset val="136"/>
      <scheme val="minor"/>
    </font>
    <font>
      <sz val="11"/>
      <color theme="1"/>
      <name val="新細明體"/>
      <family val="1"/>
      <charset val="136"/>
      <scheme val="minor"/>
    </font>
    <font>
      <sz val="9"/>
      <color indexed="81"/>
      <name val="Tahoma"/>
      <family val="2"/>
    </font>
    <font>
      <b/>
      <sz val="9"/>
      <color indexed="81"/>
      <name val="Tahoma"/>
      <family val="2"/>
    </font>
    <font>
      <sz val="9"/>
      <color indexed="81"/>
      <name val="細明體"/>
      <family val="3"/>
      <charset val="136"/>
    </font>
  </fonts>
  <fills count="5">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9" tint="0.59999389629810485"/>
        <bgColor indexed="64"/>
      </patternFill>
    </fill>
  </fills>
  <borders count="2">
    <border>
      <left/>
      <right/>
      <top/>
      <bottom/>
      <diagonal/>
    </border>
    <border>
      <left/>
      <right/>
      <top/>
      <bottom style="thin">
        <color indexed="64"/>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2" fillId="0" borderId="0" xfId="0" applyFont="1" applyAlignment="1">
      <alignment vertical="top" wrapText="1"/>
    </xf>
    <xf numFmtId="0" fontId="2" fillId="0" borderId="0" xfId="0" applyFont="1"/>
    <xf numFmtId="0" fontId="2" fillId="2" borderId="0" xfId="0" applyFont="1" applyFill="1" applyAlignment="1">
      <alignment vertical="top" wrapText="1"/>
    </xf>
    <xf numFmtId="0" fontId="3" fillId="0" borderId="0" xfId="0" applyFont="1" applyAlignment="1">
      <alignment vertical="top" wrapText="1"/>
    </xf>
    <xf numFmtId="0" fontId="3" fillId="0" borderId="0" xfId="0" applyFont="1"/>
    <xf numFmtId="0" fontId="3" fillId="2" borderId="0" xfId="0" applyFont="1" applyFill="1" applyAlignment="1">
      <alignment vertical="top" wrapText="1"/>
    </xf>
    <xf numFmtId="0" fontId="0" fillId="0" borderId="1" xfId="0" applyBorder="1"/>
    <xf numFmtId="0" fontId="2" fillId="4" borderId="0" xfId="0" applyFont="1" applyFill="1" applyAlignment="1">
      <alignment vertical="top" wrapText="1"/>
    </xf>
    <xf numFmtId="0" fontId="2" fillId="0" borderId="1" xfId="0" applyFont="1" applyBorder="1" applyAlignment="1">
      <alignment vertical="top" wrapText="1"/>
    </xf>
    <xf numFmtId="0" fontId="2" fillId="3" borderId="0" xfId="0" applyFont="1" applyFill="1" applyAlignment="1">
      <alignment vertical="top"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3"/>
  <sheetViews>
    <sheetView tabSelected="1" zoomScale="120" zoomScaleNormal="120" workbookViewId="0">
      <pane ySplit="1" topLeftCell="A124" activePane="bottomLeft" state="frozen"/>
      <selection pane="bottomLeft" activeCell="F124" sqref="F124"/>
    </sheetView>
  </sheetViews>
  <sheetFormatPr baseColWidth="10" defaultColWidth="9" defaultRowHeight="14"/>
  <cols>
    <col min="1" max="1" width="5.796875" customWidth="1"/>
    <col min="2" max="2" width="38.796875" customWidth="1"/>
    <col min="3" max="6" width="14.796875" customWidth="1"/>
    <col min="7" max="7" width="5.59765625" customWidth="1"/>
    <col min="8" max="8" width="76.59765625" customWidth="1"/>
  </cols>
  <sheetData>
    <row r="1" spans="1:8" ht="15">
      <c r="A1" s="9" t="s">
        <v>0</v>
      </c>
      <c r="B1" s="9" t="s">
        <v>1</v>
      </c>
      <c r="C1" s="9" t="s">
        <v>900</v>
      </c>
      <c r="D1" s="9" t="s">
        <v>911</v>
      </c>
      <c r="E1" s="9" t="s">
        <v>919</v>
      </c>
      <c r="F1" s="9" t="s">
        <v>922</v>
      </c>
      <c r="G1" s="9" t="s">
        <v>6</v>
      </c>
      <c r="H1" s="9" t="s">
        <v>7</v>
      </c>
    </row>
    <row r="2" spans="1:8" ht="45">
      <c r="A2" s="2" t="s">
        <v>8</v>
      </c>
      <c r="B2" s="2" t="s">
        <v>115</v>
      </c>
      <c r="C2" s="2" t="s">
        <v>116</v>
      </c>
      <c r="D2" s="2" t="s">
        <v>117</v>
      </c>
      <c r="E2" s="2" t="s">
        <v>62</v>
      </c>
      <c r="F2" s="2" t="s">
        <v>9</v>
      </c>
      <c r="G2" s="2" t="s">
        <v>922</v>
      </c>
      <c r="H2" s="2" t="s">
        <v>930</v>
      </c>
    </row>
    <row r="3" spans="1:8" ht="60">
      <c r="A3" s="2" t="s">
        <v>10</v>
      </c>
      <c r="B3" s="2" t="s">
        <v>118</v>
      </c>
      <c r="C3" s="2" t="s">
        <v>119</v>
      </c>
      <c r="D3" s="2" t="s">
        <v>120</v>
      </c>
      <c r="E3" s="2" t="s">
        <v>121</v>
      </c>
      <c r="F3" s="2" t="s">
        <v>122</v>
      </c>
      <c r="G3" s="2" t="s">
        <v>919</v>
      </c>
      <c r="H3" s="2" t="s">
        <v>931</v>
      </c>
    </row>
    <row r="4" spans="1:8" ht="45">
      <c r="A4" s="2" t="s">
        <v>11</v>
      </c>
      <c r="B4" s="2" t="s">
        <v>123</v>
      </c>
      <c r="C4" s="2" t="s">
        <v>124</v>
      </c>
      <c r="D4" s="2" t="s">
        <v>125</v>
      </c>
      <c r="E4" s="2" t="s">
        <v>126</v>
      </c>
      <c r="F4" s="2" t="s">
        <v>9</v>
      </c>
      <c r="G4" s="2" t="s">
        <v>922</v>
      </c>
      <c r="H4" s="2" t="s">
        <v>933</v>
      </c>
    </row>
    <row r="5" spans="1:8" ht="45">
      <c r="A5" s="2" t="s">
        <v>12</v>
      </c>
      <c r="B5" s="2" t="s">
        <v>127</v>
      </c>
      <c r="C5" s="2" t="s">
        <v>128</v>
      </c>
      <c r="D5" s="2" t="s">
        <v>129</v>
      </c>
      <c r="E5" s="2" t="s">
        <v>130</v>
      </c>
      <c r="F5" s="2" t="s">
        <v>9</v>
      </c>
      <c r="G5" s="2" t="s">
        <v>922</v>
      </c>
      <c r="H5" s="2" t="s">
        <v>131</v>
      </c>
    </row>
    <row r="6" spans="1:8" ht="30">
      <c r="A6" s="2" t="s">
        <v>13</v>
      </c>
      <c r="B6" s="2" t="s">
        <v>132</v>
      </c>
      <c r="C6" s="2" t="s">
        <v>133</v>
      </c>
      <c r="D6" s="2" t="s">
        <v>134</v>
      </c>
      <c r="E6" s="2" t="s">
        <v>135</v>
      </c>
      <c r="F6" s="2" t="s">
        <v>9</v>
      </c>
      <c r="G6" s="2" t="s">
        <v>922</v>
      </c>
      <c r="H6" s="2" t="s">
        <v>136</v>
      </c>
    </row>
    <row r="7" spans="1:8" ht="45">
      <c r="A7" s="2" t="s">
        <v>14</v>
      </c>
      <c r="B7" s="2" t="s">
        <v>137</v>
      </c>
      <c r="C7" s="2" t="s">
        <v>138</v>
      </c>
      <c r="D7" s="2" t="s">
        <v>139</v>
      </c>
      <c r="E7" s="2" t="s">
        <v>140</v>
      </c>
      <c r="F7" s="2" t="s">
        <v>141</v>
      </c>
      <c r="G7" s="2" t="s">
        <v>900</v>
      </c>
      <c r="H7" s="2" t="s">
        <v>932</v>
      </c>
    </row>
    <row r="8" spans="1:8" ht="45">
      <c r="A8" s="2" t="s">
        <v>15</v>
      </c>
      <c r="B8" s="2" t="s">
        <v>142</v>
      </c>
      <c r="C8" s="2" t="s">
        <v>143</v>
      </c>
      <c r="D8" s="2" t="s">
        <v>144</v>
      </c>
      <c r="E8" s="2" t="s">
        <v>145</v>
      </c>
      <c r="F8" s="2" t="s">
        <v>9</v>
      </c>
      <c r="G8" s="2" t="s">
        <v>922</v>
      </c>
      <c r="H8" s="2" t="s">
        <v>934</v>
      </c>
    </row>
    <row r="9" spans="1:8" ht="30">
      <c r="A9" s="2" t="s">
        <v>16</v>
      </c>
      <c r="B9" s="2" t="s">
        <v>146</v>
      </c>
      <c r="C9" s="2" t="s">
        <v>147</v>
      </c>
      <c r="D9" s="2" t="s">
        <v>148</v>
      </c>
      <c r="E9" s="2" t="s">
        <v>149</v>
      </c>
      <c r="F9" s="2" t="s">
        <v>9</v>
      </c>
      <c r="G9" s="2" t="s">
        <v>922</v>
      </c>
      <c r="H9" s="2" t="s">
        <v>150</v>
      </c>
    </row>
    <row r="10" spans="1:8" ht="30">
      <c r="A10" s="2" t="s">
        <v>17</v>
      </c>
      <c r="B10" s="2" t="s">
        <v>151</v>
      </c>
      <c r="C10" s="2" t="s">
        <v>144</v>
      </c>
      <c r="D10" s="2" t="s">
        <v>143</v>
      </c>
      <c r="E10" s="2" t="s">
        <v>145</v>
      </c>
      <c r="F10" s="2" t="s">
        <v>9</v>
      </c>
      <c r="G10" s="2" t="s">
        <v>911</v>
      </c>
      <c r="H10" s="2" t="s">
        <v>897</v>
      </c>
    </row>
    <row r="11" spans="1:8" ht="30">
      <c r="A11" s="2" t="s">
        <v>18</v>
      </c>
      <c r="B11" s="2" t="s">
        <v>152</v>
      </c>
      <c r="C11" s="2" t="s">
        <v>153</v>
      </c>
      <c r="D11" s="2" t="s">
        <v>154</v>
      </c>
      <c r="E11" s="2" t="s">
        <v>155</v>
      </c>
      <c r="F11" s="2" t="s">
        <v>9</v>
      </c>
      <c r="G11" s="2" t="s">
        <v>922</v>
      </c>
      <c r="H11" s="2" t="s">
        <v>156</v>
      </c>
    </row>
    <row r="12" spans="1:8" ht="45">
      <c r="A12" s="2" t="s">
        <v>19</v>
      </c>
      <c r="B12" s="2" t="s">
        <v>157</v>
      </c>
      <c r="C12" s="2" t="s">
        <v>158</v>
      </c>
      <c r="D12" s="2" t="s">
        <v>159</v>
      </c>
      <c r="E12" s="2" t="s">
        <v>160</v>
      </c>
      <c r="F12" s="2" t="s">
        <v>161</v>
      </c>
      <c r="G12" s="2" t="s">
        <v>900</v>
      </c>
      <c r="H12" s="2" t="s">
        <v>935</v>
      </c>
    </row>
    <row r="13" spans="1:8" ht="30">
      <c r="A13" s="2" t="s">
        <v>20</v>
      </c>
      <c r="B13" s="2" t="s">
        <v>162</v>
      </c>
      <c r="C13" s="2" t="s">
        <v>163</v>
      </c>
      <c r="D13" s="2" t="s">
        <v>164</v>
      </c>
      <c r="E13" s="2" t="s">
        <v>165</v>
      </c>
      <c r="F13" s="2" t="s">
        <v>9</v>
      </c>
      <c r="G13" s="2" t="s">
        <v>911</v>
      </c>
      <c r="H13" s="2" t="s">
        <v>899</v>
      </c>
    </row>
    <row r="14" spans="1:8" ht="45">
      <c r="A14" s="2" t="s">
        <v>21</v>
      </c>
      <c r="B14" s="2" t="s">
        <v>166</v>
      </c>
      <c r="C14" s="2" t="s">
        <v>163</v>
      </c>
      <c r="D14" s="2" t="s">
        <v>164</v>
      </c>
      <c r="E14" s="2" t="s">
        <v>165</v>
      </c>
      <c r="F14" s="2" t="s">
        <v>9</v>
      </c>
      <c r="G14" s="2" t="s">
        <v>919</v>
      </c>
      <c r="H14" s="2" t="s">
        <v>898</v>
      </c>
    </row>
    <row r="15" spans="1:8" ht="105">
      <c r="A15" s="2" t="s">
        <v>22</v>
      </c>
      <c r="B15" s="2" t="s">
        <v>167</v>
      </c>
      <c r="C15" s="2" t="s">
        <v>168</v>
      </c>
      <c r="D15" s="2" t="s">
        <v>169</v>
      </c>
      <c r="E15" s="2" t="s">
        <v>170</v>
      </c>
      <c r="F15" s="2" t="s">
        <v>9</v>
      </c>
      <c r="G15" s="2" t="s">
        <v>922</v>
      </c>
      <c r="H15" s="2" t="s">
        <v>936</v>
      </c>
    </row>
    <row r="16" spans="1:8" ht="165">
      <c r="A16" s="2" t="s">
        <v>23</v>
      </c>
      <c r="B16" s="2" t="s">
        <v>171</v>
      </c>
      <c r="C16" s="2" t="s">
        <v>172</v>
      </c>
      <c r="D16" s="2" t="s">
        <v>173</v>
      </c>
      <c r="E16" s="2" t="s">
        <v>174</v>
      </c>
      <c r="F16" s="2" t="s">
        <v>9</v>
      </c>
      <c r="G16" s="2" t="s">
        <v>922</v>
      </c>
      <c r="H16" s="2" t="s">
        <v>937</v>
      </c>
    </row>
    <row r="17" spans="1:8" ht="90">
      <c r="A17" s="2" t="s">
        <v>24</v>
      </c>
      <c r="B17" s="2" t="s">
        <v>175</v>
      </c>
      <c r="C17" s="2" t="s">
        <v>176</v>
      </c>
      <c r="D17" s="2" t="s">
        <v>177</v>
      </c>
      <c r="E17" s="2" t="s">
        <v>178</v>
      </c>
      <c r="F17" s="2" t="s">
        <v>9</v>
      </c>
      <c r="G17" s="2" t="s">
        <v>922</v>
      </c>
      <c r="H17" s="2" t="s">
        <v>938</v>
      </c>
    </row>
    <row r="18" spans="1:8" ht="30">
      <c r="A18" s="2" t="s">
        <v>25</v>
      </c>
      <c r="B18" s="2" t="s">
        <v>179</v>
      </c>
      <c r="C18" s="2" t="s">
        <v>180</v>
      </c>
      <c r="D18" s="2" t="s">
        <v>181</v>
      </c>
      <c r="E18" s="2" t="s">
        <v>182</v>
      </c>
      <c r="F18" s="2" t="s">
        <v>9</v>
      </c>
      <c r="G18" s="2" t="s">
        <v>922</v>
      </c>
      <c r="H18" s="2" t="s">
        <v>852</v>
      </c>
    </row>
    <row r="19" spans="1:8" ht="45">
      <c r="A19" s="2" t="s">
        <v>26</v>
      </c>
      <c r="B19" s="2" t="s">
        <v>183</v>
      </c>
      <c r="C19" s="2" t="s">
        <v>184</v>
      </c>
      <c r="D19" s="2" t="s">
        <v>185</v>
      </c>
      <c r="E19" s="2" t="s">
        <v>186</v>
      </c>
      <c r="F19" s="2" t="s">
        <v>187</v>
      </c>
      <c r="G19" s="2" t="s">
        <v>911</v>
      </c>
      <c r="H19" s="2" t="s">
        <v>939</v>
      </c>
    </row>
    <row r="20" spans="1:8" ht="75">
      <c r="A20" s="2" t="s">
        <v>28</v>
      </c>
      <c r="B20" s="2" t="s">
        <v>188</v>
      </c>
      <c r="C20" s="2" t="s">
        <v>189</v>
      </c>
      <c r="D20" s="2" t="s">
        <v>190</v>
      </c>
      <c r="E20" s="2" t="s">
        <v>191</v>
      </c>
      <c r="F20" s="2" t="s">
        <v>192</v>
      </c>
      <c r="G20" s="2" t="s">
        <v>919</v>
      </c>
      <c r="H20" s="2" t="s">
        <v>940</v>
      </c>
    </row>
    <row r="21" spans="1:8" ht="60">
      <c r="A21" s="2" t="s">
        <v>29</v>
      </c>
      <c r="B21" s="2" t="s">
        <v>193</v>
      </c>
      <c r="C21" s="2" t="s">
        <v>194</v>
      </c>
      <c r="D21" s="2" t="s">
        <v>195</v>
      </c>
      <c r="E21" s="2" t="s">
        <v>196</v>
      </c>
      <c r="F21" s="2" t="s">
        <v>197</v>
      </c>
      <c r="G21" s="2" t="s">
        <v>911</v>
      </c>
      <c r="H21" s="2" t="s">
        <v>853</v>
      </c>
    </row>
    <row r="22" spans="1:8" ht="90">
      <c r="A22" s="2" t="s">
        <v>30</v>
      </c>
      <c r="B22" s="2" t="s">
        <v>198</v>
      </c>
      <c r="C22" s="2" t="s">
        <v>194</v>
      </c>
      <c r="D22" s="2" t="s">
        <v>199</v>
      </c>
      <c r="E22" s="2" t="s">
        <v>200</v>
      </c>
      <c r="F22" s="2" t="s">
        <v>9</v>
      </c>
      <c r="G22" s="2" t="s">
        <v>922</v>
      </c>
      <c r="H22" s="2" t="s">
        <v>854</v>
      </c>
    </row>
    <row r="23" spans="1:8" ht="45">
      <c r="A23" s="2" t="s">
        <v>31</v>
      </c>
      <c r="B23" s="2" t="s">
        <v>201</v>
      </c>
      <c r="C23" s="2" t="s">
        <v>202</v>
      </c>
      <c r="D23" s="2" t="s">
        <v>203</v>
      </c>
      <c r="E23" s="2" t="s">
        <v>204</v>
      </c>
      <c r="F23" s="2" t="s">
        <v>205</v>
      </c>
      <c r="G23" s="2" t="s">
        <v>900</v>
      </c>
      <c r="H23" s="2" t="s">
        <v>855</v>
      </c>
    </row>
    <row r="24" spans="1:8" ht="45">
      <c r="A24" s="2" t="s">
        <v>32</v>
      </c>
      <c r="B24" s="2" t="s">
        <v>206</v>
      </c>
      <c r="C24" s="2" t="s">
        <v>207</v>
      </c>
      <c r="D24" s="2" t="s">
        <v>208</v>
      </c>
      <c r="E24" s="2" t="s">
        <v>209</v>
      </c>
      <c r="F24" s="2" t="s">
        <v>9</v>
      </c>
      <c r="G24" s="2" t="s">
        <v>919</v>
      </c>
      <c r="H24" s="2" t="s">
        <v>856</v>
      </c>
    </row>
    <row r="25" spans="1:8" ht="45">
      <c r="A25" s="2" t="s">
        <v>33</v>
      </c>
      <c r="B25" s="2" t="s">
        <v>210</v>
      </c>
      <c r="C25" s="2" t="s">
        <v>211</v>
      </c>
      <c r="D25" s="2" t="s">
        <v>212</v>
      </c>
      <c r="E25" s="2" t="s">
        <v>213</v>
      </c>
      <c r="F25" s="2" t="s">
        <v>9</v>
      </c>
      <c r="G25" s="2" t="s">
        <v>900</v>
      </c>
      <c r="H25" s="2" t="s">
        <v>857</v>
      </c>
    </row>
    <row r="26" spans="1:8" ht="105">
      <c r="A26" s="2" t="s">
        <v>34</v>
      </c>
      <c r="B26" s="2" t="s">
        <v>214</v>
      </c>
      <c r="C26" s="2" t="s">
        <v>215</v>
      </c>
      <c r="D26" s="2" t="s">
        <v>216</v>
      </c>
      <c r="E26" s="2" t="s">
        <v>217</v>
      </c>
      <c r="F26" s="2" t="s">
        <v>9</v>
      </c>
      <c r="G26" s="2" t="s">
        <v>911</v>
      </c>
      <c r="H26" s="2" t="s">
        <v>941</v>
      </c>
    </row>
    <row r="27" spans="1:8" ht="60">
      <c r="A27" s="2" t="s">
        <v>35</v>
      </c>
      <c r="B27" s="2" t="s">
        <v>218</v>
      </c>
      <c r="C27" s="2" t="s">
        <v>219</v>
      </c>
      <c r="D27" s="2" t="s">
        <v>220</v>
      </c>
      <c r="E27" s="2" t="s">
        <v>221</v>
      </c>
      <c r="F27" s="2" t="s">
        <v>9</v>
      </c>
      <c r="G27" s="2" t="s">
        <v>911</v>
      </c>
      <c r="H27" s="2" t="s">
        <v>858</v>
      </c>
    </row>
    <row r="28" spans="1:8" ht="60">
      <c r="A28" s="2" t="s">
        <v>36</v>
      </c>
      <c r="B28" s="2" t="s">
        <v>222</v>
      </c>
      <c r="C28" s="2" t="s">
        <v>223</v>
      </c>
      <c r="D28" s="2" t="s">
        <v>224</v>
      </c>
      <c r="E28" s="2" t="s">
        <v>225</v>
      </c>
      <c r="F28" s="2" t="s">
        <v>9</v>
      </c>
      <c r="G28" s="2" t="s">
        <v>919</v>
      </c>
      <c r="H28" s="2" t="s">
        <v>859</v>
      </c>
    </row>
    <row r="29" spans="1:8" ht="60">
      <c r="A29" s="2" t="s">
        <v>37</v>
      </c>
      <c r="B29" s="2" t="s">
        <v>226</v>
      </c>
      <c r="C29" s="2" t="s">
        <v>219</v>
      </c>
      <c r="D29" s="2" t="s">
        <v>227</v>
      </c>
      <c r="E29" s="2" t="s">
        <v>221</v>
      </c>
      <c r="F29" s="2" t="s">
        <v>9</v>
      </c>
      <c r="G29" s="2" t="s">
        <v>900</v>
      </c>
      <c r="H29" s="2" t="s">
        <v>860</v>
      </c>
    </row>
    <row r="30" spans="1:8" ht="45">
      <c r="A30" s="2" t="s">
        <v>38</v>
      </c>
      <c r="B30" s="2" t="s">
        <v>861</v>
      </c>
      <c r="C30" s="2" t="s">
        <v>228</v>
      </c>
      <c r="D30" s="2" t="s">
        <v>229</v>
      </c>
      <c r="E30" s="2" t="s">
        <v>230</v>
      </c>
      <c r="F30" s="2" t="s">
        <v>9</v>
      </c>
      <c r="G30" s="2" t="s">
        <v>922</v>
      </c>
      <c r="H30" s="2" t="s">
        <v>942</v>
      </c>
    </row>
    <row r="31" spans="1:8" ht="60">
      <c r="A31" s="2" t="s">
        <v>39</v>
      </c>
      <c r="B31" s="2" t="s">
        <v>231</v>
      </c>
      <c r="C31" s="2" t="s">
        <v>69</v>
      </c>
      <c r="D31" s="2" t="s">
        <v>68</v>
      </c>
      <c r="E31" s="2" t="s">
        <v>67</v>
      </c>
      <c r="F31" s="2" t="s">
        <v>9</v>
      </c>
      <c r="G31" s="2" t="s">
        <v>900</v>
      </c>
      <c r="H31" s="2" t="s">
        <v>862</v>
      </c>
    </row>
    <row r="32" spans="1:8" ht="45">
      <c r="A32" s="2" t="s">
        <v>40</v>
      </c>
      <c r="B32" s="2" t="s">
        <v>232</v>
      </c>
      <c r="C32" s="2" t="s">
        <v>233</v>
      </c>
      <c r="D32" s="2" t="s">
        <v>234</v>
      </c>
      <c r="E32" s="2" t="s">
        <v>235</v>
      </c>
      <c r="F32" s="2" t="s">
        <v>236</v>
      </c>
      <c r="G32" s="2" t="s">
        <v>919</v>
      </c>
      <c r="H32" s="2" t="s">
        <v>863</v>
      </c>
    </row>
    <row r="33" spans="1:8" ht="60">
      <c r="A33" s="2" t="s">
        <v>42</v>
      </c>
      <c r="B33" s="2" t="s">
        <v>237</v>
      </c>
      <c r="C33" s="2" t="s">
        <v>238</v>
      </c>
      <c r="D33" s="2" t="s">
        <v>239</v>
      </c>
      <c r="E33" s="2" t="s">
        <v>240</v>
      </c>
      <c r="F33" s="2" t="s">
        <v>241</v>
      </c>
      <c r="G33" s="2" t="s">
        <v>900</v>
      </c>
      <c r="H33" s="2" t="s">
        <v>902</v>
      </c>
    </row>
    <row r="34" spans="1:8" ht="60">
      <c r="A34" s="2" t="s">
        <v>43</v>
      </c>
      <c r="B34" s="2" t="s">
        <v>864</v>
      </c>
      <c r="C34" s="2" t="s">
        <v>239</v>
      </c>
      <c r="D34" s="2" t="s">
        <v>240</v>
      </c>
      <c r="E34" s="2" t="s">
        <v>238</v>
      </c>
      <c r="F34" s="2" t="s">
        <v>241</v>
      </c>
      <c r="G34" s="2" t="s">
        <v>919</v>
      </c>
      <c r="H34" s="2" t="s">
        <v>903</v>
      </c>
    </row>
    <row r="35" spans="1:8" ht="45">
      <c r="A35" s="2" t="s">
        <v>44</v>
      </c>
      <c r="B35" s="2" t="s">
        <v>242</v>
      </c>
      <c r="C35" s="2" t="s">
        <v>243</v>
      </c>
      <c r="D35" s="2" t="s">
        <v>244</v>
      </c>
      <c r="E35" s="2" t="s">
        <v>245</v>
      </c>
      <c r="F35" s="2" t="s">
        <v>27</v>
      </c>
      <c r="G35" s="2" t="s">
        <v>919</v>
      </c>
      <c r="H35" s="2" t="s">
        <v>865</v>
      </c>
    </row>
    <row r="36" spans="1:8" ht="45">
      <c r="A36" s="2" t="s">
        <v>45</v>
      </c>
      <c r="B36" s="2" t="s">
        <v>246</v>
      </c>
      <c r="C36" s="2" t="s">
        <v>247</v>
      </c>
      <c r="D36" s="2" t="s">
        <v>248</v>
      </c>
      <c r="E36" s="2" t="s">
        <v>249</v>
      </c>
      <c r="F36" s="2" t="s">
        <v>250</v>
      </c>
      <c r="G36" s="2" t="s">
        <v>919</v>
      </c>
      <c r="H36" s="2" t="s">
        <v>866</v>
      </c>
    </row>
    <row r="37" spans="1:8" ht="45">
      <c r="A37" s="2" t="s">
        <v>46</v>
      </c>
      <c r="B37" s="2" t="s">
        <v>251</v>
      </c>
      <c r="C37" s="2" t="s">
        <v>209</v>
      </c>
      <c r="D37" s="2" t="s">
        <v>207</v>
      </c>
      <c r="E37" s="2" t="s">
        <v>208</v>
      </c>
      <c r="F37" s="2" t="s">
        <v>252</v>
      </c>
      <c r="G37" s="2" t="s">
        <v>900</v>
      </c>
      <c r="H37" s="2" t="s">
        <v>904</v>
      </c>
    </row>
    <row r="38" spans="1:8" ht="120">
      <c r="A38" s="2" t="s">
        <v>47</v>
      </c>
      <c r="B38" s="2" t="s">
        <v>253</v>
      </c>
      <c r="C38" s="2" t="s">
        <v>254</v>
      </c>
      <c r="D38" s="2" t="s">
        <v>255</v>
      </c>
      <c r="E38" s="2" t="s">
        <v>256</v>
      </c>
      <c r="F38" s="2" t="s">
        <v>257</v>
      </c>
      <c r="G38" s="2" t="s">
        <v>922</v>
      </c>
      <c r="H38" s="2" t="s">
        <v>943</v>
      </c>
    </row>
    <row r="39" spans="1:8" ht="30">
      <c r="A39" s="2" t="s">
        <v>48</v>
      </c>
      <c r="B39" s="2" t="s">
        <v>258</v>
      </c>
      <c r="C39" s="2" t="s">
        <v>259</v>
      </c>
      <c r="D39" s="2" t="s">
        <v>260</v>
      </c>
      <c r="E39" s="2" t="s">
        <v>261</v>
      </c>
      <c r="F39" s="2" t="s">
        <v>262</v>
      </c>
      <c r="G39" s="2" t="s">
        <v>900</v>
      </c>
      <c r="H39" s="2" t="s">
        <v>867</v>
      </c>
    </row>
    <row r="40" spans="1:8" ht="105">
      <c r="A40" s="2" t="s">
        <v>49</v>
      </c>
      <c r="B40" s="2" t="s">
        <v>263</v>
      </c>
      <c r="C40" s="2" t="s">
        <v>264</v>
      </c>
      <c r="D40" s="2" t="s">
        <v>248</v>
      </c>
      <c r="E40" s="2" t="s">
        <v>265</v>
      </c>
      <c r="F40" s="2" t="s">
        <v>259</v>
      </c>
      <c r="G40" s="2" t="s">
        <v>919</v>
      </c>
      <c r="H40" s="2" t="s">
        <v>868</v>
      </c>
    </row>
    <row r="41" spans="1:8" ht="60">
      <c r="A41" s="2" t="s">
        <v>50</v>
      </c>
      <c r="B41" s="2" t="s">
        <v>266</v>
      </c>
      <c r="C41" s="2" t="s">
        <v>260</v>
      </c>
      <c r="D41" s="2" t="s">
        <v>261</v>
      </c>
      <c r="E41" s="2" t="s">
        <v>248</v>
      </c>
      <c r="F41" s="2" t="s">
        <v>264</v>
      </c>
      <c r="G41" s="2" t="s">
        <v>911</v>
      </c>
      <c r="H41" s="2" t="s">
        <v>869</v>
      </c>
    </row>
    <row r="42" spans="1:8" ht="60">
      <c r="A42" s="2" t="s">
        <v>51</v>
      </c>
      <c r="B42" s="2" t="s">
        <v>267</v>
      </c>
      <c r="C42" s="2" t="s">
        <v>265</v>
      </c>
      <c r="D42" s="2" t="s">
        <v>264</v>
      </c>
      <c r="E42" s="2" t="s">
        <v>259</v>
      </c>
      <c r="F42" s="2" t="s">
        <v>261</v>
      </c>
      <c r="G42" s="2" t="s">
        <v>911</v>
      </c>
      <c r="H42" s="2" t="s">
        <v>870</v>
      </c>
    </row>
    <row r="43" spans="1:8" ht="60">
      <c r="A43" s="2" t="s">
        <v>52</v>
      </c>
      <c r="B43" s="2" t="s">
        <v>268</v>
      </c>
      <c r="C43" s="2" t="s">
        <v>269</v>
      </c>
      <c r="D43" s="2" t="s">
        <v>270</v>
      </c>
      <c r="E43" s="2" t="s">
        <v>271</v>
      </c>
      <c r="F43" s="2" t="s">
        <v>9</v>
      </c>
      <c r="G43" s="2" t="s">
        <v>919</v>
      </c>
      <c r="H43" s="2" t="s">
        <v>826</v>
      </c>
    </row>
    <row r="44" spans="1:8" ht="60">
      <c r="A44" s="2" t="s">
        <v>53</v>
      </c>
      <c r="B44" s="2" t="s">
        <v>272</v>
      </c>
      <c r="C44" s="2" t="s">
        <v>273</v>
      </c>
      <c r="D44" s="2" t="s">
        <v>274</v>
      </c>
      <c r="E44" s="2" t="s">
        <v>271</v>
      </c>
      <c r="F44" s="2" t="s">
        <v>9</v>
      </c>
      <c r="G44" s="2" t="s">
        <v>911</v>
      </c>
      <c r="H44" s="2" t="s">
        <v>827</v>
      </c>
    </row>
    <row r="45" spans="1:8" ht="45">
      <c r="A45" s="2" t="s">
        <v>54</v>
      </c>
      <c r="B45" s="2" t="s">
        <v>275</v>
      </c>
      <c r="C45" s="2" t="s">
        <v>276</v>
      </c>
      <c r="D45" s="2" t="s">
        <v>277</v>
      </c>
      <c r="E45" s="2" t="s">
        <v>278</v>
      </c>
      <c r="F45" s="2" t="s">
        <v>279</v>
      </c>
      <c r="G45" s="2" t="s">
        <v>900</v>
      </c>
      <c r="H45" s="2" t="s">
        <v>944</v>
      </c>
    </row>
    <row r="46" spans="1:8" ht="45">
      <c r="A46" s="2" t="s">
        <v>55</v>
      </c>
      <c r="B46" s="2" t="s">
        <v>280</v>
      </c>
      <c r="C46" s="2" t="s">
        <v>281</v>
      </c>
      <c r="D46" s="2" t="s">
        <v>277</v>
      </c>
      <c r="E46" s="2" t="s">
        <v>278</v>
      </c>
      <c r="F46" s="2" t="s">
        <v>279</v>
      </c>
      <c r="G46" s="2" t="s">
        <v>900</v>
      </c>
      <c r="H46" s="2" t="s">
        <v>945</v>
      </c>
    </row>
    <row r="47" spans="1:8" ht="93.5" customHeight="1">
      <c r="A47" s="2" t="s">
        <v>56</v>
      </c>
      <c r="B47" s="2" t="s">
        <v>282</v>
      </c>
      <c r="C47" s="2" t="s">
        <v>283</v>
      </c>
      <c r="D47" s="2" t="s">
        <v>284</v>
      </c>
      <c r="E47" s="2" t="s">
        <v>285</v>
      </c>
      <c r="F47" s="2" t="s">
        <v>286</v>
      </c>
      <c r="G47" s="2" t="s">
        <v>919</v>
      </c>
      <c r="H47" s="2" t="s">
        <v>946</v>
      </c>
    </row>
    <row r="48" spans="1:8" ht="99.5" customHeight="1">
      <c r="A48" s="2" t="s">
        <v>57</v>
      </c>
      <c r="B48" s="2" t="s">
        <v>287</v>
      </c>
      <c r="C48" s="2" t="s">
        <v>277</v>
      </c>
      <c r="D48" s="2" t="s">
        <v>281</v>
      </c>
      <c r="E48" s="2" t="s">
        <v>279</v>
      </c>
      <c r="F48" s="2" t="s">
        <v>27</v>
      </c>
      <c r="G48" s="2" t="s">
        <v>911</v>
      </c>
      <c r="H48" s="2" t="s">
        <v>947</v>
      </c>
    </row>
    <row r="49" spans="1:8" ht="75">
      <c r="A49" s="2" t="s">
        <v>58</v>
      </c>
      <c r="B49" s="2" t="s">
        <v>288</v>
      </c>
      <c r="C49" s="2" t="s">
        <v>289</v>
      </c>
      <c r="D49" s="2" t="s">
        <v>290</v>
      </c>
      <c r="E49" s="2" t="s">
        <v>244</v>
      </c>
      <c r="F49" s="2" t="s">
        <v>291</v>
      </c>
      <c r="G49" s="2" t="s">
        <v>900</v>
      </c>
      <c r="H49" s="2" t="s">
        <v>948</v>
      </c>
    </row>
    <row r="50" spans="1:8" ht="45">
      <c r="A50" s="2" t="s">
        <v>59</v>
      </c>
      <c r="B50" s="2" t="s">
        <v>292</v>
      </c>
      <c r="C50" s="2" t="s">
        <v>293</v>
      </c>
      <c r="D50" s="2" t="s">
        <v>216</v>
      </c>
      <c r="E50" s="2" t="s">
        <v>250</v>
      </c>
      <c r="F50" s="2" t="s">
        <v>294</v>
      </c>
      <c r="G50" s="2" t="s">
        <v>911</v>
      </c>
      <c r="H50" s="2" t="s">
        <v>871</v>
      </c>
    </row>
    <row r="51" spans="1:8" ht="75">
      <c r="A51" s="2" t="s">
        <v>60</v>
      </c>
      <c r="B51" s="2" t="s">
        <v>295</v>
      </c>
      <c r="C51" s="2" t="s">
        <v>296</v>
      </c>
      <c r="D51" s="2" t="s">
        <v>297</v>
      </c>
      <c r="E51" s="2" t="s">
        <v>298</v>
      </c>
      <c r="F51" s="2" t="s">
        <v>299</v>
      </c>
      <c r="G51" s="2" t="s">
        <v>911</v>
      </c>
      <c r="H51" s="2" t="s">
        <v>949</v>
      </c>
    </row>
    <row r="52" spans="1:8" ht="45">
      <c r="A52" s="2" t="s">
        <v>61</v>
      </c>
      <c r="B52" s="2" t="s">
        <v>300</v>
      </c>
      <c r="C52" s="2" t="s">
        <v>301</v>
      </c>
      <c r="D52" s="2" t="s">
        <v>302</v>
      </c>
      <c r="E52" s="2" t="s">
        <v>303</v>
      </c>
      <c r="F52" s="2" t="s">
        <v>264</v>
      </c>
      <c r="G52" s="2" t="s">
        <v>919</v>
      </c>
      <c r="H52" s="2" t="s">
        <v>872</v>
      </c>
    </row>
    <row r="53" spans="1:8" ht="60">
      <c r="A53" s="2" t="s">
        <v>63</v>
      </c>
      <c r="B53" s="2" t="s">
        <v>304</v>
      </c>
      <c r="C53" s="2" t="s">
        <v>301</v>
      </c>
      <c r="D53" s="2" t="s">
        <v>305</v>
      </c>
      <c r="E53" s="2" t="s">
        <v>9</v>
      </c>
      <c r="F53" s="2" t="s">
        <v>27</v>
      </c>
      <c r="G53" s="2" t="s">
        <v>919</v>
      </c>
      <c r="H53" s="2" t="s">
        <v>873</v>
      </c>
    </row>
    <row r="54" spans="1:8" ht="45">
      <c r="A54" s="2" t="s">
        <v>64</v>
      </c>
      <c r="B54" s="2" t="s">
        <v>306</v>
      </c>
      <c r="C54" s="2" t="s">
        <v>923</v>
      </c>
      <c r="D54" s="2" t="s">
        <v>307</v>
      </c>
      <c r="E54" s="2" t="s">
        <v>308</v>
      </c>
      <c r="F54" s="2" t="s">
        <v>924</v>
      </c>
      <c r="G54" s="2" t="s">
        <v>911</v>
      </c>
      <c r="H54" s="2" t="s">
        <v>874</v>
      </c>
    </row>
    <row r="55" spans="1:8" ht="60">
      <c r="A55" s="2" t="s">
        <v>65</v>
      </c>
      <c r="B55" s="2" t="s">
        <v>309</v>
      </c>
      <c r="C55" s="2" t="s">
        <v>310</v>
      </c>
      <c r="D55" s="2" t="s">
        <v>311</v>
      </c>
      <c r="E55" s="2" t="s">
        <v>312</v>
      </c>
      <c r="F55" s="2" t="s">
        <v>9</v>
      </c>
      <c r="G55" s="2" t="s">
        <v>900</v>
      </c>
      <c r="H55" s="2" t="s">
        <v>875</v>
      </c>
    </row>
    <row r="56" spans="1:8" ht="60">
      <c r="A56" s="2" t="s">
        <v>66</v>
      </c>
      <c r="B56" s="2" t="s">
        <v>313</v>
      </c>
      <c r="C56" s="2" t="s">
        <v>314</v>
      </c>
      <c r="D56" s="2" t="s">
        <v>315</v>
      </c>
      <c r="E56" s="2" t="s">
        <v>316</v>
      </c>
      <c r="F56" s="2" t="s">
        <v>317</v>
      </c>
      <c r="G56" s="2" t="s">
        <v>922</v>
      </c>
      <c r="H56" s="2" t="s">
        <v>876</v>
      </c>
    </row>
    <row r="57" spans="1:8" ht="75">
      <c r="A57" s="2" t="s">
        <v>70</v>
      </c>
      <c r="B57" s="2" t="s">
        <v>318</v>
      </c>
      <c r="C57" s="2" t="s">
        <v>319</v>
      </c>
      <c r="D57" s="2" t="s">
        <v>320</v>
      </c>
      <c r="E57" s="2" t="s">
        <v>321</v>
      </c>
      <c r="F57" s="2" t="s">
        <v>322</v>
      </c>
      <c r="G57" s="2" t="s">
        <v>911</v>
      </c>
      <c r="H57" s="2" t="s">
        <v>912</v>
      </c>
    </row>
    <row r="58" spans="1:8" ht="45">
      <c r="A58" s="2" t="s">
        <v>71</v>
      </c>
      <c r="B58" s="2" t="s">
        <v>323</v>
      </c>
      <c r="C58" s="2" t="s">
        <v>293</v>
      </c>
      <c r="D58" s="2" t="s">
        <v>216</v>
      </c>
      <c r="E58" s="2" t="s">
        <v>294</v>
      </c>
      <c r="F58" s="2" t="s">
        <v>250</v>
      </c>
      <c r="G58" s="2" t="s">
        <v>900</v>
      </c>
      <c r="H58" s="2" t="s">
        <v>905</v>
      </c>
    </row>
    <row r="59" spans="1:8" ht="120">
      <c r="A59" s="2" t="s">
        <v>72</v>
      </c>
      <c r="B59" s="2" t="s">
        <v>324</v>
      </c>
      <c r="C59" s="2" t="s">
        <v>325</v>
      </c>
      <c r="D59" s="2" t="s">
        <v>326</v>
      </c>
      <c r="E59" s="2" t="s">
        <v>327</v>
      </c>
      <c r="F59" s="2" t="s">
        <v>9</v>
      </c>
      <c r="G59" s="2" t="s">
        <v>922</v>
      </c>
      <c r="H59" s="2" t="s">
        <v>950</v>
      </c>
    </row>
    <row r="60" spans="1:8" ht="45">
      <c r="A60" s="2" t="s">
        <v>73</v>
      </c>
      <c r="B60" s="2" t="s">
        <v>328</v>
      </c>
      <c r="C60" s="2" t="s">
        <v>329</v>
      </c>
      <c r="D60" s="2" t="s">
        <v>330</v>
      </c>
      <c r="E60" s="2" t="s">
        <v>331</v>
      </c>
      <c r="F60" s="2" t="s">
        <v>332</v>
      </c>
      <c r="G60" s="2" t="s">
        <v>900</v>
      </c>
      <c r="H60" s="2" t="s">
        <v>951</v>
      </c>
    </row>
    <row r="61" spans="1:8" ht="45">
      <c r="A61" s="2" t="s">
        <v>74</v>
      </c>
      <c r="B61" s="2" t="s">
        <v>333</v>
      </c>
      <c r="C61" s="2" t="s">
        <v>334</v>
      </c>
      <c r="D61" s="2" t="s">
        <v>335</v>
      </c>
      <c r="E61" s="2" t="s">
        <v>336</v>
      </c>
      <c r="F61" s="2" t="s">
        <v>337</v>
      </c>
      <c r="G61" s="2" t="s">
        <v>900</v>
      </c>
      <c r="H61" s="2" t="s">
        <v>952</v>
      </c>
    </row>
    <row r="62" spans="1:8" ht="90">
      <c r="A62" s="2" t="s">
        <v>75</v>
      </c>
      <c r="B62" s="2" t="s">
        <v>338</v>
      </c>
      <c r="C62" s="2" t="s">
        <v>326</v>
      </c>
      <c r="D62" s="2" t="s">
        <v>339</v>
      </c>
      <c r="E62" s="2" t="s">
        <v>340</v>
      </c>
      <c r="F62" s="2" t="s">
        <v>327</v>
      </c>
      <c r="G62" s="2" t="s">
        <v>919</v>
      </c>
      <c r="H62" s="2" t="s">
        <v>953</v>
      </c>
    </row>
    <row r="63" spans="1:8" ht="120">
      <c r="A63" s="2" t="s">
        <v>76</v>
      </c>
      <c r="B63" s="2" t="s">
        <v>895</v>
      </c>
      <c r="C63" s="2" t="s">
        <v>341</v>
      </c>
      <c r="D63" s="2" t="s">
        <v>342</v>
      </c>
      <c r="E63" s="2" t="s">
        <v>343</v>
      </c>
      <c r="F63" s="2" t="s">
        <v>9</v>
      </c>
      <c r="G63" s="2" t="s">
        <v>922</v>
      </c>
      <c r="H63" s="2" t="s">
        <v>954</v>
      </c>
    </row>
    <row r="64" spans="1:8" ht="105">
      <c r="A64" s="2" t="s">
        <v>77</v>
      </c>
      <c r="B64" s="2" t="s">
        <v>344</v>
      </c>
      <c r="C64" s="2" t="s">
        <v>289</v>
      </c>
      <c r="D64" s="2" t="s">
        <v>290</v>
      </c>
      <c r="E64" s="2" t="s">
        <v>244</v>
      </c>
      <c r="F64" s="2" t="s">
        <v>27</v>
      </c>
      <c r="G64" s="2" t="s">
        <v>911</v>
      </c>
      <c r="H64" s="2" t="s">
        <v>955</v>
      </c>
    </row>
    <row r="65" spans="1:8" ht="105">
      <c r="A65" s="2" t="s">
        <v>78</v>
      </c>
      <c r="B65" s="2" t="s">
        <v>345</v>
      </c>
      <c r="C65" s="2" t="s">
        <v>289</v>
      </c>
      <c r="D65" s="2" t="s">
        <v>244</v>
      </c>
      <c r="E65" s="2" t="s">
        <v>290</v>
      </c>
      <c r="F65" s="2" t="s">
        <v>27</v>
      </c>
      <c r="G65" s="2" t="s">
        <v>919</v>
      </c>
      <c r="H65" s="2" t="s">
        <v>956</v>
      </c>
    </row>
    <row r="66" spans="1:8" ht="105">
      <c r="A66" s="2" t="s">
        <v>79</v>
      </c>
      <c r="B66" s="2" t="s">
        <v>346</v>
      </c>
      <c r="C66" s="2" t="s">
        <v>290</v>
      </c>
      <c r="D66" s="2" t="s">
        <v>289</v>
      </c>
      <c r="E66" s="2" t="s">
        <v>244</v>
      </c>
      <c r="F66" s="2" t="s">
        <v>27</v>
      </c>
      <c r="G66" s="2" t="s">
        <v>900</v>
      </c>
      <c r="H66" s="2" t="s">
        <v>957</v>
      </c>
    </row>
    <row r="67" spans="1:8" ht="45">
      <c r="A67" s="2" t="s">
        <v>80</v>
      </c>
      <c r="B67" s="2" t="s">
        <v>347</v>
      </c>
      <c r="C67" s="2" t="s">
        <v>325</v>
      </c>
      <c r="D67" s="2" t="s">
        <v>326</v>
      </c>
      <c r="E67" s="2" t="s">
        <v>339</v>
      </c>
      <c r="F67" s="2" t="s">
        <v>327</v>
      </c>
      <c r="G67" s="2" t="s">
        <v>911</v>
      </c>
      <c r="H67" s="2" t="s">
        <v>877</v>
      </c>
    </row>
    <row r="68" spans="1:8" ht="75">
      <c r="A68" s="2" t="s">
        <v>82</v>
      </c>
      <c r="B68" s="2" t="s">
        <v>348</v>
      </c>
      <c r="C68" s="2" t="s">
        <v>325</v>
      </c>
      <c r="D68" s="2" t="s">
        <v>339</v>
      </c>
      <c r="E68" s="2" t="s">
        <v>326</v>
      </c>
      <c r="F68" s="2" t="s">
        <v>327</v>
      </c>
      <c r="G68" s="2" t="s">
        <v>919</v>
      </c>
      <c r="H68" s="2" t="s">
        <v>878</v>
      </c>
    </row>
    <row r="69" spans="1:8" ht="45">
      <c r="A69" s="2" t="s">
        <v>83</v>
      </c>
      <c r="B69" s="2" t="s">
        <v>349</v>
      </c>
      <c r="C69" s="2" t="s">
        <v>325</v>
      </c>
      <c r="D69" s="2" t="s">
        <v>326</v>
      </c>
      <c r="E69" s="2" t="s">
        <v>339</v>
      </c>
      <c r="F69" s="2" t="s">
        <v>327</v>
      </c>
      <c r="G69" s="2" t="s">
        <v>922</v>
      </c>
      <c r="H69" s="2" t="s">
        <v>958</v>
      </c>
    </row>
    <row r="70" spans="1:8" ht="60">
      <c r="A70" s="2" t="s">
        <v>84</v>
      </c>
      <c r="B70" s="2" t="s">
        <v>350</v>
      </c>
      <c r="C70" s="2" t="s">
        <v>325</v>
      </c>
      <c r="D70" s="2" t="s">
        <v>339</v>
      </c>
      <c r="E70" s="2" t="s">
        <v>326</v>
      </c>
      <c r="F70" s="2" t="s">
        <v>327</v>
      </c>
      <c r="G70" s="2" t="s">
        <v>911</v>
      </c>
      <c r="H70" s="2" t="s">
        <v>959</v>
      </c>
    </row>
    <row r="71" spans="1:8" ht="45">
      <c r="A71" s="2" t="s">
        <v>85</v>
      </c>
      <c r="B71" s="2" t="s">
        <v>351</v>
      </c>
      <c r="C71" s="2" t="s">
        <v>252</v>
      </c>
      <c r="D71" s="2" t="s">
        <v>250</v>
      </c>
      <c r="E71" s="2" t="s">
        <v>216</v>
      </c>
      <c r="F71" s="2" t="s">
        <v>294</v>
      </c>
      <c r="G71" s="2" t="s">
        <v>919</v>
      </c>
      <c r="H71" s="2" t="s">
        <v>961</v>
      </c>
    </row>
    <row r="72" spans="1:8" ht="30">
      <c r="A72" s="2" t="s">
        <v>86</v>
      </c>
      <c r="B72" s="2" t="s">
        <v>352</v>
      </c>
      <c r="C72" s="2" t="s">
        <v>353</v>
      </c>
      <c r="D72" s="2" t="s">
        <v>354</v>
      </c>
      <c r="E72" s="2" t="s">
        <v>355</v>
      </c>
      <c r="F72" s="2" t="s">
        <v>356</v>
      </c>
      <c r="G72" s="2" t="s">
        <v>900</v>
      </c>
      <c r="H72" s="2" t="s">
        <v>960</v>
      </c>
    </row>
    <row r="73" spans="1:8" ht="45">
      <c r="A73" s="2" t="s">
        <v>87</v>
      </c>
      <c r="B73" s="2" t="s">
        <v>357</v>
      </c>
      <c r="C73" s="2" t="s">
        <v>358</v>
      </c>
      <c r="D73" s="2" t="s">
        <v>359</v>
      </c>
      <c r="E73" s="2" t="s">
        <v>360</v>
      </c>
      <c r="F73" s="2" t="s">
        <v>9</v>
      </c>
      <c r="G73" s="2" t="s">
        <v>922</v>
      </c>
      <c r="H73" s="2" t="s">
        <v>828</v>
      </c>
    </row>
    <row r="74" spans="1:8" ht="45">
      <c r="A74" s="2" t="s">
        <v>88</v>
      </c>
      <c r="B74" s="2" t="s">
        <v>361</v>
      </c>
      <c r="C74" s="2" t="s">
        <v>252</v>
      </c>
      <c r="D74" s="2" t="s">
        <v>264</v>
      </c>
      <c r="E74" s="2" t="s">
        <v>207</v>
      </c>
      <c r="F74" s="2" t="s">
        <v>208</v>
      </c>
      <c r="G74" s="2" t="s">
        <v>911</v>
      </c>
      <c r="H74" s="2" t="s">
        <v>913</v>
      </c>
    </row>
    <row r="75" spans="1:8" ht="30">
      <c r="A75" s="2" t="s">
        <v>89</v>
      </c>
      <c r="B75" s="2" t="s">
        <v>362</v>
      </c>
      <c r="C75" s="2" t="s">
        <v>363</v>
      </c>
      <c r="D75" s="2" t="s">
        <v>364</v>
      </c>
      <c r="E75" s="2" t="s">
        <v>365</v>
      </c>
      <c r="F75" s="2" t="s">
        <v>27</v>
      </c>
      <c r="G75" s="2" t="s">
        <v>900</v>
      </c>
      <c r="H75" s="2" t="s">
        <v>906</v>
      </c>
    </row>
    <row r="76" spans="1:8" ht="60">
      <c r="A76" s="2" t="s">
        <v>90</v>
      </c>
      <c r="B76" s="2" t="s">
        <v>366</v>
      </c>
      <c r="C76" s="2" t="s">
        <v>367</v>
      </c>
      <c r="D76" s="2" t="s">
        <v>368</v>
      </c>
      <c r="E76" s="2" t="s">
        <v>369</v>
      </c>
      <c r="F76" s="2" t="s">
        <v>370</v>
      </c>
      <c r="G76" s="2" t="s">
        <v>919</v>
      </c>
      <c r="H76" s="2" t="s">
        <v>879</v>
      </c>
    </row>
    <row r="77" spans="1:8" ht="75">
      <c r="A77" s="2" t="s">
        <v>91</v>
      </c>
      <c r="B77" s="2" t="s">
        <v>371</v>
      </c>
      <c r="C77" s="2" t="s">
        <v>372</v>
      </c>
      <c r="D77" s="2" t="s">
        <v>373</v>
      </c>
      <c r="E77" s="2" t="s">
        <v>374</v>
      </c>
      <c r="F77" s="2" t="s">
        <v>9</v>
      </c>
      <c r="G77" s="2" t="s">
        <v>922</v>
      </c>
      <c r="H77" s="2" t="s">
        <v>925</v>
      </c>
    </row>
    <row r="78" spans="1:8" ht="30">
      <c r="A78" s="2" t="s">
        <v>92</v>
      </c>
      <c r="B78" s="2" t="s">
        <v>375</v>
      </c>
      <c r="C78" s="2" t="s">
        <v>376</v>
      </c>
      <c r="D78" s="2" t="s">
        <v>377</v>
      </c>
      <c r="E78" s="2" t="s">
        <v>378</v>
      </c>
      <c r="F78" s="2" t="s">
        <v>379</v>
      </c>
      <c r="G78" s="2" t="s">
        <v>919</v>
      </c>
      <c r="H78" s="2" t="s">
        <v>962</v>
      </c>
    </row>
    <row r="79" spans="1:8" ht="45">
      <c r="A79" s="2" t="s">
        <v>93</v>
      </c>
      <c r="B79" s="2" t="s">
        <v>380</v>
      </c>
      <c r="C79" s="2" t="s">
        <v>381</v>
      </c>
      <c r="D79" s="2" t="s">
        <v>382</v>
      </c>
      <c r="E79" s="2" t="s">
        <v>383</v>
      </c>
      <c r="F79" s="2" t="s">
        <v>384</v>
      </c>
      <c r="G79" s="2" t="s">
        <v>911</v>
      </c>
      <c r="H79" s="2" t="s">
        <v>880</v>
      </c>
    </row>
    <row r="80" spans="1:8" ht="45">
      <c r="A80" s="2" t="s">
        <v>94</v>
      </c>
      <c r="B80" s="2" t="s">
        <v>385</v>
      </c>
      <c r="C80" s="2" t="s">
        <v>386</v>
      </c>
      <c r="D80" s="2" t="s">
        <v>387</v>
      </c>
      <c r="E80" s="2" t="s">
        <v>388</v>
      </c>
      <c r="F80" s="2" t="s">
        <v>27</v>
      </c>
      <c r="G80" s="2" t="s">
        <v>900</v>
      </c>
      <c r="H80" s="2" t="s">
        <v>963</v>
      </c>
    </row>
    <row r="81" spans="1:8" ht="60">
      <c r="A81" s="2" t="s">
        <v>95</v>
      </c>
      <c r="B81" s="2" t="s">
        <v>389</v>
      </c>
      <c r="C81" s="2" t="s">
        <v>390</v>
      </c>
      <c r="D81" s="2" t="s">
        <v>391</v>
      </c>
      <c r="E81" s="2" t="s">
        <v>392</v>
      </c>
      <c r="F81" s="2" t="s">
        <v>393</v>
      </c>
      <c r="G81" s="2" t="s">
        <v>919</v>
      </c>
      <c r="H81" s="2" t="s">
        <v>881</v>
      </c>
    </row>
    <row r="82" spans="1:8" ht="45">
      <c r="A82" s="2" t="s">
        <v>96</v>
      </c>
      <c r="B82" s="2" t="s">
        <v>394</v>
      </c>
      <c r="C82" s="2" t="s">
        <v>390</v>
      </c>
      <c r="D82" s="2" t="s">
        <v>391</v>
      </c>
      <c r="E82" s="2" t="s">
        <v>393</v>
      </c>
      <c r="F82" s="2" t="s">
        <v>392</v>
      </c>
      <c r="G82" s="2" t="s">
        <v>922</v>
      </c>
      <c r="H82" s="2" t="s">
        <v>882</v>
      </c>
    </row>
    <row r="83" spans="1:8" ht="45">
      <c r="A83" s="2" t="s">
        <v>97</v>
      </c>
      <c r="B83" s="2" t="s">
        <v>395</v>
      </c>
      <c r="C83" s="2" t="s">
        <v>396</v>
      </c>
      <c r="D83" s="2" t="s">
        <v>397</v>
      </c>
      <c r="E83" s="2" t="s">
        <v>398</v>
      </c>
      <c r="F83" s="2" t="s">
        <v>399</v>
      </c>
      <c r="G83" s="2" t="s">
        <v>900</v>
      </c>
      <c r="H83" s="2" t="s">
        <v>883</v>
      </c>
    </row>
    <row r="84" spans="1:8" ht="45">
      <c r="A84" s="2" t="s">
        <v>98</v>
      </c>
      <c r="B84" s="2" t="s">
        <v>400</v>
      </c>
      <c r="C84" s="2" t="s">
        <v>252</v>
      </c>
      <c r="D84" s="2" t="s">
        <v>401</v>
      </c>
      <c r="E84" s="2" t="s">
        <v>294</v>
      </c>
      <c r="F84" s="2" t="s">
        <v>9</v>
      </c>
      <c r="G84" s="2" t="s">
        <v>911</v>
      </c>
      <c r="H84" s="2" t="s">
        <v>884</v>
      </c>
    </row>
    <row r="85" spans="1:8" ht="175.75" customHeight="1">
      <c r="A85" s="2" t="s">
        <v>99</v>
      </c>
      <c r="B85" s="2" t="s">
        <v>402</v>
      </c>
      <c r="C85" s="2" t="s">
        <v>403</v>
      </c>
      <c r="D85" s="2" t="s">
        <v>404</v>
      </c>
      <c r="E85" s="2" t="s">
        <v>405</v>
      </c>
      <c r="F85" s="2" t="s">
        <v>9</v>
      </c>
      <c r="G85" s="2" t="s">
        <v>922</v>
      </c>
      <c r="H85" s="2" t="s">
        <v>920</v>
      </c>
    </row>
    <row r="86" spans="1:8" ht="60">
      <c r="A86" s="2" t="s">
        <v>100</v>
      </c>
      <c r="B86" s="2" t="s">
        <v>406</v>
      </c>
      <c r="C86" s="2" t="s">
        <v>326</v>
      </c>
      <c r="D86" s="2" t="s">
        <v>339</v>
      </c>
      <c r="E86" s="2" t="s">
        <v>325</v>
      </c>
      <c r="F86" s="2" t="s">
        <v>327</v>
      </c>
      <c r="G86" s="2" t="s">
        <v>919</v>
      </c>
      <c r="H86" s="2" t="s">
        <v>885</v>
      </c>
    </row>
    <row r="87" spans="1:8" ht="30">
      <c r="A87" s="2" t="s">
        <v>101</v>
      </c>
      <c r="B87" s="2" t="s">
        <v>407</v>
      </c>
      <c r="C87" s="2" t="s">
        <v>408</v>
      </c>
      <c r="D87" s="2" t="s">
        <v>409</v>
      </c>
      <c r="E87" s="2" t="s">
        <v>410</v>
      </c>
      <c r="F87" s="2" t="s">
        <v>27</v>
      </c>
      <c r="G87" s="2" t="s">
        <v>900</v>
      </c>
      <c r="H87" s="2" t="s">
        <v>886</v>
      </c>
    </row>
    <row r="88" spans="1:8" ht="147.5" customHeight="1">
      <c r="A88" s="2" t="s">
        <v>102</v>
      </c>
      <c r="B88" s="2" t="s">
        <v>411</v>
      </c>
      <c r="C88" s="2" t="s">
        <v>412</v>
      </c>
      <c r="D88" s="2" t="s">
        <v>413</v>
      </c>
      <c r="E88" s="2" t="s">
        <v>184</v>
      </c>
      <c r="F88" s="2" t="s">
        <v>9</v>
      </c>
      <c r="G88" s="2" t="s">
        <v>922</v>
      </c>
      <c r="H88" s="2" t="s">
        <v>926</v>
      </c>
    </row>
    <row r="89" spans="1:8" ht="30">
      <c r="A89" s="2" t="s">
        <v>103</v>
      </c>
      <c r="B89" s="2" t="s">
        <v>414</v>
      </c>
      <c r="C89" s="2" t="s">
        <v>293</v>
      </c>
      <c r="D89" s="2" t="s">
        <v>216</v>
      </c>
      <c r="E89" s="2" t="s">
        <v>250</v>
      </c>
      <c r="F89" s="2" t="s">
        <v>294</v>
      </c>
      <c r="G89" s="2" t="s">
        <v>911</v>
      </c>
      <c r="H89" s="2" t="s">
        <v>887</v>
      </c>
    </row>
    <row r="90" spans="1:8" ht="30">
      <c r="A90" s="2" t="s">
        <v>104</v>
      </c>
      <c r="B90" s="2" t="s">
        <v>415</v>
      </c>
      <c r="C90" s="2" t="s">
        <v>416</v>
      </c>
      <c r="D90" s="2" t="s">
        <v>417</v>
      </c>
      <c r="E90" s="2" t="s">
        <v>418</v>
      </c>
      <c r="F90" s="2" t="s">
        <v>419</v>
      </c>
      <c r="G90" s="2" t="s">
        <v>919</v>
      </c>
      <c r="H90" s="2" t="s">
        <v>888</v>
      </c>
    </row>
    <row r="91" spans="1:8" ht="45">
      <c r="A91" s="2" t="s">
        <v>105</v>
      </c>
      <c r="B91" s="2" t="s">
        <v>420</v>
      </c>
      <c r="C91" s="2" t="s">
        <v>41</v>
      </c>
      <c r="D91" s="2" t="s">
        <v>421</v>
      </c>
      <c r="E91" s="2" t="s">
        <v>422</v>
      </c>
      <c r="F91" s="2" t="s">
        <v>423</v>
      </c>
      <c r="G91" s="2" t="s">
        <v>911</v>
      </c>
      <c r="H91" s="2" t="s">
        <v>889</v>
      </c>
    </row>
    <row r="92" spans="1:8" ht="30">
      <c r="A92" s="2" t="s">
        <v>106</v>
      </c>
      <c r="B92" s="2" t="s">
        <v>424</v>
      </c>
      <c r="C92" s="2" t="s">
        <v>425</v>
      </c>
      <c r="D92" s="2" t="s">
        <v>426</v>
      </c>
      <c r="E92" s="2" t="s">
        <v>427</v>
      </c>
      <c r="F92" s="2" t="s">
        <v>428</v>
      </c>
      <c r="G92" s="2" t="s">
        <v>900</v>
      </c>
      <c r="H92" s="2" t="s">
        <v>964</v>
      </c>
    </row>
    <row r="93" spans="1:8" ht="105">
      <c r="A93" s="2" t="s">
        <v>429</v>
      </c>
      <c r="B93" s="2" t="s">
        <v>430</v>
      </c>
      <c r="C93" s="2" t="s">
        <v>259</v>
      </c>
      <c r="D93" s="2" t="s">
        <v>260</v>
      </c>
      <c r="E93" s="2" t="s">
        <v>431</v>
      </c>
      <c r="F93" s="2" t="s">
        <v>9</v>
      </c>
      <c r="G93" s="2" t="s">
        <v>922</v>
      </c>
      <c r="H93" s="2" t="s">
        <v>914</v>
      </c>
    </row>
    <row r="94" spans="1:8" ht="105">
      <c r="A94" s="2" t="s">
        <v>432</v>
      </c>
      <c r="B94" s="2" t="s">
        <v>433</v>
      </c>
      <c r="C94" s="2" t="s">
        <v>434</v>
      </c>
      <c r="D94" s="2" t="s">
        <v>435</v>
      </c>
      <c r="E94" s="2" t="s">
        <v>436</v>
      </c>
      <c r="F94" s="2" t="s">
        <v>9</v>
      </c>
      <c r="G94" s="2" t="s">
        <v>922</v>
      </c>
      <c r="H94" s="2" t="s">
        <v>915</v>
      </c>
    </row>
    <row r="95" spans="1:8" ht="105">
      <c r="A95" s="2" t="s">
        <v>437</v>
      </c>
      <c r="B95" s="2" t="s">
        <v>438</v>
      </c>
      <c r="C95" s="2" t="s">
        <v>439</v>
      </c>
      <c r="D95" s="2" t="s">
        <v>440</v>
      </c>
      <c r="E95" s="2" t="s">
        <v>441</v>
      </c>
      <c r="F95" s="2" t="s">
        <v>442</v>
      </c>
      <c r="G95" s="2" t="s">
        <v>919</v>
      </c>
      <c r="H95" s="2" t="s">
        <v>916</v>
      </c>
    </row>
    <row r="96" spans="1:8" ht="45">
      <c r="A96" s="2" t="s">
        <v>443</v>
      </c>
      <c r="B96" s="2" t="s">
        <v>444</v>
      </c>
      <c r="C96" s="2" t="s">
        <v>445</v>
      </c>
      <c r="D96" s="2" t="s">
        <v>446</v>
      </c>
      <c r="E96" s="2" t="s">
        <v>447</v>
      </c>
      <c r="F96" s="2" t="s">
        <v>448</v>
      </c>
      <c r="G96" s="2" t="s">
        <v>911</v>
      </c>
      <c r="H96" s="2" t="s">
        <v>965</v>
      </c>
    </row>
    <row r="97" spans="1:8" ht="45">
      <c r="A97" s="2" t="s">
        <v>449</v>
      </c>
      <c r="B97" s="2" t="s">
        <v>450</v>
      </c>
      <c r="C97" s="2" t="s">
        <v>451</v>
      </c>
      <c r="D97" s="2" t="s">
        <v>452</v>
      </c>
      <c r="E97" s="2" t="s">
        <v>453</v>
      </c>
      <c r="F97" s="2" t="s">
        <v>454</v>
      </c>
      <c r="G97" s="2" t="s">
        <v>911</v>
      </c>
      <c r="H97" s="2" t="s">
        <v>455</v>
      </c>
    </row>
    <row r="98" spans="1:8" ht="172.75" customHeight="1">
      <c r="A98" s="2" t="s">
        <v>456</v>
      </c>
      <c r="B98" s="2" t="s">
        <v>457</v>
      </c>
      <c r="C98" s="2" t="s">
        <v>458</v>
      </c>
      <c r="D98" s="2" t="s">
        <v>459</v>
      </c>
      <c r="E98" s="2" t="s">
        <v>460</v>
      </c>
      <c r="F98" s="2" t="s">
        <v>461</v>
      </c>
      <c r="G98" s="2" t="s">
        <v>900</v>
      </c>
      <c r="H98" s="2" t="s">
        <v>966</v>
      </c>
    </row>
    <row r="99" spans="1:8" ht="148.75" customHeight="1">
      <c r="A99" s="2" t="s">
        <v>462</v>
      </c>
      <c r="B99" s="2" t="s">
        <v>463</v>
      </c>
      <c r="C99" s="2" t="s">
        <v>464</v>
      </c>
      <c r="D99" s="2" t="s">
        <v>465</v>
      </c>
      <c r="E99" s="2" t="s">
        <v>466</v>
      </c>
      <c r="F99" s="2" t="s">
        <v>9</v>
      </c>
      <c r="G99" s="2" t="s">
        <v>922</v>
      </c>
      <c r="H99" s="2" t="s">
        <v>967</v>
      </c>
    </row>
    <row r="100" spans="1:8" ht="30">
      <c r="A100" s="2" t="s">
        <v>467</v>
      </c>
      <c r="B100" s="2" t="s">
        <v>468</v>
      </c>
      <c r="C100" s="2" t="s">
        <v>469</v>
      </c>
      <c r="D100" s="2" t="s">
        <v>470</v>
      </c>
      <c r="E100" s="2" t="s">
        <v>471</v>
      </c>
      <c r="F100" s="2" t="s">
        <v>472</v>
      </c>
      <c r="G100" s="2" t="s">
        <v>919</v>
      </c>
      <c r="H100" s="2" t="s">
        <v>890</v>
      </c>
    </row>
    <row r="101" spans="1:8" ht="60">
      <c r="A101" s="2" t="s">
        <v>473</v>
      </c>
      <c r="B101" s="2" t="s">
        <v>474</v>
      </c>
      <c r="C101" s="2" t="s">
        <v>475</v>
      </c>
      <c r="D101" s="2" t="s">
        <v>476</v>
      </c>
      <c r="E101" s="2" t="s">
        <v>477</v>
      </c>
      <c r="F101" s="2" t="s">
        <v>9</v>
      </c>
      <c r="G101" s="2" t="s">
        <v>922</v>
      </c>
      <c r="H101" s="2" t="s">
        <v>927</v>
      </c>
    </row>
    <row r="102" spans="1:8" ht="45">
      <c r="A102" s="2" t="s">
        <v>478</v>
      </c>
      <c r="B102" s="2" t="s">
        <v>479</v>
      </c>
      <c r="C102" s="2" t="s">
        <v>480</v>
      </c>
      <c r="D102" s="2" t="s">
        <v>481</v>
      </c>
      <c r="E102" s="2" t="s">
        <v>482</v>
      </c>
      <c r="F102" s="2" t="s">
        <v>9</v>
      </c>
      <c r="G102" s="2" t="s">
        <v>900</v>
      </c>
      <c r="H102" s="2" t="s">
        <v>891</v>
      </c>
    </row>
    <row r="103" spans="1:8" ht="60">
      <c r="A103" s="2" t="s">
        <v>483</v>
      </c>
      <c r="B103" s="2" t="s">
        <v>484</v>
      </c>
      <c r="C103" s="2" t="s">
        <v>155</v>
      </c>
      <c r="D103" s="2" t="s">
        <v>485</v>
      </c>
      <c r="E103" s="2" t="s">
        <v>486</v>
      </c>
      <c r="F103" s="2" t="s">
        <v>487</v>
      </c>
      <c r="G103" s="2" t="s">
        <v>900</v>
      </c>
      <c r="H103" s="2" t="s">
        <v>907</v>
      </c>
    </row>
    <row r="104" spans="1:8" ht="45">
      <c r="A104" s="2" t="s">
        <v>488</v>
      </c>
      <c r="B104" s="2" t="s">
        <v>489</v>
      </c>
      <c r="C104" s="2" t="s">
        <v>490</v>
      </c>
      <c r="D104" s="2" t="s">
        <v>491</v>
      </c>
      <c r="E104" s="2" t="s">
        <v>492</v>
      </c>
      <c r="F104" s="2" t="s">
        <v>27</v>
      </c>
      <c r="G104" s="2" t="s">
        <v>900</v>
      </c>
      <c r="H104" s="2" t="s">
        <v>892</v>
      </c>
    </row>
    <row r="105" spans="1:8" ht="90">
      <c r="A105" s="2" t="s">
        <v>493</v>
      </c>
      <c r="B105" s="2" t="s">
        <v>494</v>
      </c>
      <c r="C105" s="2" t="s">
        <v>495</v>
      </c>
      <c r="D105" s="2" t="s">
        <v>496</v>
      </c>
      <c r="E105" s="2" t="s">
        <v>497</v>
      </c>
      <c r="F105" s="2" t="s">
        <v>498</v>
      </c>
      <c r="G105" s="2" t="s">
        <v>919</v>
      </c>
      <c r="H105" s="2" t="s">
        <v>968</v>
      </c>
    </row>
    <row r="106" spans="1:8" ht="75">
      <c r="A106" s="2" t="s">
        <v>499</v>
      </c>
      <c r="B106" s="2" t="s">
        <v>500</v>
      </c>
      <c r="C106" s="2" t="s">
        <v>492</v>
      </c>
      <c r="D106" s="2" t="s">
        <v>490</v>
      </c>
      <c r="E106" s="2" t="s">
        <v>491</v>
      </c>
      <c r="F106" s="2" t="s">
        <v>27</v>
      </c>
      <c r="G106" s="2" t="s">
        <v>900</v>
      </c>
      <c r="H106" s="2" t="s">
        <v>969</v>
      </c>
    </row>
    <row r="107" spans="1:8" ht="105">
      <c r="A107" s="2" t="s">
        <v>501</v>
      </c>
      <c r="B107" s="2" t="s">
        <v>502</v>
      </c>
      <c r="C107" s="2" t="s">
        <v>503</v>
      </c>
      <c r="D107" s="2" t="s">
        <v>504</v>
      </c>
      <c r="E107" s="2" t="s">
        <v>505</v>
      </c>
      <c r="F107" s="2" t="s">
        <v>9</v>
      </c>
      <c r="G107" s="2" t="s">
        <v>922</v>
      </c>
      <c r="H107" s="2" t="s">
        <v>970</v>
      </c>
    </row>
    <row r="108" spans="1:8" ht="75">
      <c r="A108" s="2" t="s">
        <v>506</v>
      </c>
      <c r="B108" s="2" t="s">
        <v>507</v>
      </c>
      <c r="C108" s="2" t="s">
        <v>508</v>
      </c>
      <c r="D108" s="2" t="s">
        <v>509</v>
      </c>
      <c r="E108" s="2" t="s">
        <v>510</v>
      </c>
      <c r="F108" s="2" t="s">
        <v>511</v>
      </c>
      <c r="G108" s="2" t="s">
        <v>900</v>
      </c>
      <c r="H108" s="2" t="s">
        <v>908</v>
      </c>
    </row>
    <row r="109" spans="1:8" ht="75">
      <c r="A109" s="2" t="s">
        <v>512</v>
      </c>
      <c r="B109" s="2" t="s">
        <v>513</v>
      </c>
      <c r="C109" s="2" t="s">
        <v>514</v>
      </c>
      <c r="D109" s="2" t="s">
        <v>515</v>
      </c>
      <c r="E109" s="2" t="s">
        <v>516</v>
      </c>
      <c r="F109" s="2" t="s">
        <v>9</v>
      </c>
      <c r="G109" s="2" t="s">
        <v>922</v>
      </c>
      <c r="H109" s="2" t="s">
        <v>928</v>
      </c>
    </row>
    <row r="110" spans="1:8" ht="90">
      <c r="A110" s="2" t="s">
        <v>517</v>
      </c>
      <c r="B110" s="2" t="s">
        <v>518</v>
      </c>
      <c r="C110" s="2" t="s">
        <v>519</v>
      </c>
      <c r="D110" s="2" t="s">
        <v>520</v>
      </c>
      <c r="E110" s="2" t="s">
        <v>521</v>
      </c>
      <c r="F110" s="2" t="s">
        <v>9</v>
      </c>
      <c r="G110" s="2" t="s">
        <v>922</v>
      </c>
      <c r="H110" s="2" t="s">
        <v>893</v>
      </c>
    </row>
    <row r="111" spans="1:8" ht="45">
      <c r="A111" s="2" t="s">
        <v>522</v>
      </c>
      <c r="B111" s="2" t="s">
        <v>523</v>
      </c>
      <c r="C111" s="2" t="s">
        <v>524</v>
      </c>
      <c r="D111" s="2" t="s">
        <v>525</v>
      </c>
      <c r="E111" s="2" t="s">
        <v>526</v>
      </c>
      <c r="F111" s="2" t="s">
        <v>9</v>
      </c>
      <c r="G111" s="2" t="s">
        <v>922</v>
      </c>
      <c r="H111" s="2" t="s">
        <v>894</v>
      </c>
    </row>
    <row r="112" spans="1:8" ht="60">
      <c r="A112" s="2" t="s">
        <v>527</v>
      </c>
      <c r="B112" s="2" t="s">
        <v>528</v>
      </c>
      <c r="C112" s="2" t="s">
        <v>505</v>
      </c>
      <c r="D112" s="2" t="s">
        <v>503</v>
      </c>
      <c r="E112" s="2" t="s">
        <v>504</v>
      </c>
      <c r="F112" s="2" t="s">
        <v>27</v>
      </c>
      <c r="G112" s="2" t="s">
        <v>900</v>
      </c>
      <c r="H112" s="2" t="s">
        <v>964</v>
      </c>
    </row>
    <row r="113" spans="1:8" ht="90">
      <c r="A113" s="2" t="s">
        <v>529</v>
      </c>
      <c r="B113" s="2" t="s">
        <v>530</v>
      </c>
      <c r="C113" s="2" t="s">
        <v>531</v>
      </c>
      <c r="D113" s="2" t="s">
        <v>532</v>
      </c>
      <c r="E113" s="2" t="s">
        <v>533</v>
      </c>
      <c r="F113" s="2" t="s">
        <v>9</v>
      </c>
      <c r="G113" s="2" t="s">
        <v>922</v>
      </c>
      <c r="H113" s="2" t="s">
        <v>971</v>
      </c>
    </row>
    <row r="114" spans="1:8" ht="135">
      <c r="A114" s="2" t="s">
        <v>534</v>
      </c>
      <c r="B114" s="2" t="s">
        <v>535</v>
      </c>
      <c r="C114" s="2" t="s">
        <v>536</v>
      </c>
      <c r="D114" s="2" t="s">
        <v>537</v>
      </c>
      <c r="E114" s="2" t="s">
        <v>538</v>
      </c>
      <c r="F114" s="2" t="s">
        <v>539</v>
      </c>
      <c r="G114" s="2" t="s">
        <v>919</v>
      </c>
      <c r="H114" s="2" t="s">
        <v>972</v>
      </c>
    </row>
    <row r="115" spans="1:8" ht="90">
      <c r="A115" s="2" t="s">
        <v>540</v>
      </c>
      <c r="B115" s="2" t="s">
        <v>541</v>
      </c>
      <c r="C115" s="2" t="s">
        <v>542</v>
      </c>
      <c r="D115" s="2" t="s">
        <v>543</v>
      </c>
      <c r="E115" s="2" t="s">
        <v>544</v>
      </c>
      <c r="F115" s="2" t="s">
        <v>545</v>
      </c>
      <c r="G115" s="2" t="s">
        <v>919</v>
      </c>
      <c r="H115" s="2" t="s">
        <v>973</v>
      </c>
    </row>
    <row r="116" spans="1:8" ht="90">
      <c r="A116" s="2" t="s">
        <v>546</v>
      </c>
      <c r="B116" s="2" t="s">
        <v>547</v>
      </c>
      <c r="C116" s="2" t="s">
        <v>542</v>
      </c>
      <c r="D116" s="2" t="s">
        <v>543</v>
      </c>
      <c r="E116" s="2" t="s">
        <v>545</v>
      </c>
      <c r="F116" s="2" t="s">
        <v>544</v>
      </c>
      <c r="G116" s="2" t="s">
        <v>919</v>
      </c>
      <c r="H116" s="2" t="s">
        <v>974</v>
      </c>
    </row>
    <row r="117" spans="1:8" ht="45">
      <c r="A117" s="2" t="s">
        <v>548</v>
      </c>
      <c r="B117" s="2" t="s">
        <v>549</v>
      </c>
      <c r="C117" s="2" t="s">
        <v>542</v>
      </c>
      <c r="D117" s="2" t="s">
        <v>543</v>
      </c>
      <c r="E117" s="2" t="s">
        <v>550</v>
      </c>
      <c r="F117" s="2" t="s">
        <v>544</v>
      </c>
      <c r="G117" s="2" t="s">
        <v>911</v>
      </c>
      <c r="H117" s="2" t="s">
        <v>975</v>
      </c>
    </row>
    <row r="118" spans="1:8" ht="45">
      <c r="A118" s="2" t="s">
        <v>551</v>
      </c>
      <c r="B118" s="2" t="s">
        <v>552</v>
      </c>
      <c r="C118" s="2" t="s">
        <v>544</v>
      </c>
      <c r="D118" s="2" t="s">
        <v>550</v>
      </c>
      <c r="E118" s="2" t="s">
        <v>543</v>
      </c>
      <c r="F118" s="2" t="s">
        <v>545</v>
      </c>
      <c r="G118" s="2" t="s">
        <v>911</v>
      </c>
      <c r="H118" s="2" t="s">
        <v>929</v>
      </c>
    </row>
    <row r="119" spans="1:8" ht="75">
      <c r="A119" s="2" t="s">
        <v>553</v>
      </c>
      <c r="B119" s="2" t="s">
        <v>554</v>
      </c>
      <c r="C119" s="2" t="s">
        <v>555</v>
      </c>
      <c r="D119" s="2" t="s">
        <v>556</v>
      </c>
      <c r="E119" s="2" t="s">
        <v>557</v>
      </c>
      <c r="F119" s="2" t="s">
        <v>9</v>
      </c>
      <c r="G119" s="2" t="s">
        <v>900</v>
      </c>
      <c r="H119" s="2" t="s">
        <v>909</v>
      </c>
    </row>
    <row r="120" spans="1:8" s="8" customFormat="1" ht="45">
      <c r="A120" s="10" t="s">
        <v>558</v>
      </c>
      <c r="B120" s="10" t="s">
        <v>559</v>
      </c>
      <c r="C120" s="10" t="s">
        <v>560</v>
      </c>
      <c r="D120" s="10" t="s">
        <v>561</v>
      </c>
      <c r="E120" s="10" t="s">
        <v>562</v>
      </c>
      <c r="F120" s="10" t="s">
        <v>563</v>
      </c>
      <c r="G120" s="10" t="s">
        <v>900</v>
      </c>
      <c r="H120" s="10" t="s">
        <v>976</v>
      </c>
    </row>
    <row r="121" spans="1:8" ht="45">
      <c r="A121" s="2" t="s">
        <v>564</v>
      </c>
      <c r="B121" s="2" t="s">
        <v>565</v>
      </c>
      <c r="C121" s="2" t="s">
        <v>566</v>
      </c>
      <c r="D121" s="2" t="s">
        <v>567</v>
      </c>
      <c r="E121" s="2" t="s">
        <v>9</v>
      </c>
      <c r="F121" s="2" t="s">
        <v>27</v>
      </c>
      <c r="G121" s="2" t="s">
        <v>919</v>
      </c>
      <c r="H121" s="2" t="s">
        <v>977</v>
      </c>
    </row>
    <row r="122" spans="1:8" ht="45">
      <c r="A122" s="2" t="s">
        <v>568</v>
      </c>
      <c r="B122" s="2" t="s">
        <v>569</v>
      </c>
      <c r="C122" s="2" t="s">
        <v>570</v>
      </c>
      <c r="D122" s="2" t="s">
        <v>571</v>
      </c>
      <c r="E122" s="2" t="s">
        <v>572</v>
      </c>
      <c r="F122" s="2" t="s">
        <v>573</v>
      </c>
      <c r="G122" s="2" t="s">
        <v>911</v>
      </c>
      <c r="H122" s="2" t="s">
        <v>901</v>
      </c>
    </row>
    <row r="123" spans="1:8" ht="45">
      <c r="A123" s="2" t="s">
        <v>574</v>
      </c>
      <c r="B123" s="2" t="s">
        <v>575</v>
      </c>
      <c r="C123" s="2" t="s">
        <v>576</v>
      </c>
      <c r="D123" s="2" t="s">
        <v>426</v>
      </c>
      <c r="E123" s="2" t="s">
        <v>577</v>
      </c>
      <c r="F123" s="2" t="s">
        <v>9</v>
      </c>
      <c r="G123" s="2" t="s">
        <v>922</v>
      </c>
      <c r="H123" s="2" t="s">
        <v>978</v>
      </c>
    </row>
    <row r="124" spans="1:8" ht="314">
      <c r="A124" s="2" t="s">
        <v>578</v>
      </c>
      <c r="B124" s="2" t="s">
        <v>579</v>
      </c>
      <c r="C124" s="2" t="s">
        <v>571</v>
      </c>
      <c r="D124" s="2" t="s">
        <v>570</v>
      </c>
      <c r="E124" s="2" t="s">
        <v>573</v>
      </c>
      <c r="F124" s="2" t="s">
        <v>572</v>
      </c>
      <c r="G124" s="11" t="s">
        <v>1001</v>
      </c>
      <c r="H124" s="11" t="s">
        <v>1000</v>
      </c>
    </row>
    <row r="125" spans="1:8" ht="90">
      <c r="A125" s="2" t="s">
        <v>580</v>
      </c>
      <c r="B125" s="2" t="s">
        <v>581</v>
      </c>
      <c r="C125" s="2" t="s">
        <v>582</v>
      </c>
      <c r="D125" s="2" t="s">
        <v>583</v>
      </c>
      <c r="E125" s="2" t="s">
        <v>584</v>
      </c>
      <c r="F125" s="2" t="s">
        <v>585</v>
      </c>
      <c r="G125" s="2" t="s">
        <v>911</v>
      </c>
      <c r="H125" s="2" t="s">
        <v>979</v>
      </c>
    </row>
    <row r="126" spans="1:8" ht="105">
      <c r="A126" s="2" t="s">
        <v>586</v>
      </c>
      <c r="B126" s="2" t="s">
        <v>587</v>
      </c>
      <c r="C126" s="2" t="s">
        <v>588</v>
      </c>
      <c r="D126" s="2" t="s">
        <v>589</v>
      </c>
      <c r="E126" s="2" t="s">
        <v>590</v>
      </c>
      <c r="F126" s="2" t="s">
        <v>591</v>
      </c>
      <c r="G126" s="2" t="s">
        <v>919</v>
      </c>
      <c r="H126" s="2" t="s">
        <v>980</v>
      </c>
    </row>
    <row r="127" spans="1:8" ht="120">
      <c r="A127" s="2" t="s">
        <v>592</v>
      </c>
      <c r="B127" s="2" t="s">
        <v>593</v>
      </c>
      <c r="C127" s="2" t="s">
        <v>594</v>
      </c>
      <c r="D127" s="2" t="s">
        <v>595</v>
      </c>
      <c r="E127" s="2" t="s">
        <v>596</v>
      </c>
      <c r="F127" s="2" t="s">
        <v>9</v>
      </c>
      <c r="G127" s="2" t="s">
        <v>922</v>
      </c>
      <c r="H127" s="2" t="s">
        <v>981</v>
      </c>
    </row>
    <row r="128" spans="1:8" ht="120">
      <c r="A128" s="2" t="s">
        <v>597</v>
      </c>
      <c r="B128" s="2" t="s">
        <v>598</v>
      </c>
      <c r="C128" s="2" t="s">
        <v>599</v>
      </c>
      <c r="D128" s="2" t="s">
        <v>600</v>
      </c>
      <c r="E128" s="2" t="s">
        <v>601</v>
      </c>
      <c r="F128" s="2" t="s">
        <v>602</v>
      </c>
      <c r="G128" s="2" t="s">
        <v>900</v>
      </c>
      <c r="H128" s="2" t="s">
        <v>982</v>
      </c>
    </row>
    <row r="129" spans="1:8" ht="120">
      <c r="A129" s="2" t="s">
        <v>603</v>
      </c>
      <c r="B129" s="2" t="s">
        <v>604</v>
      </c>
      <c r="C129" s="2" t="s">
        <v>605</v>
      </c>
      <c r="D129" s="2" t="s">
        <v>606</v>
      </c>
      <c r="E129" s="2" t="s">
        <v>607</v>
      </c>
      <c r="F129" s="2" t="s">
        <v>9</v>
      </c>
      <c r="G129" s="2" t="s">
        <v>911</v>
      </c>
      <c r="H129" s="2" t="s">
        <v>910</v>
      </c>
    </row>
    <row r="130" spans="1:8" ht="135">
      <c r="A130" s="2" t="s">
        <v>608</v>
      </c>
      <c r="B130" s="2" t="s">
        <v>609</v>
      </c>
      <c r="C130" s="2" t="s">
        <v>610</v>
      </c>
      <c r="D130" s="2" t="s">
        <v>611</v>
      </c>
      <c r="E130" s="2" t="s">
        <v>612</v>
      </c>
      <c r="F130" s="2" t="s">
        <v>9</v>
      </c>
      <c r="G130" s="2" t="s">
        <v>922</v>
      </c>
      <c r="H130" s="2" t="s">
        <v>983</v>
      </c>
    </row>
    <row r="131" spans="1:8" ht="75">
      <c r="A131" s="2" t="s">
        <v>613</v>
      </c>
      <c r="B131" s="2" t="s">
        <v>614</v>
      </c>
      <c r="C131" s="2" t="s">
        <v>577</v>
      </c>
      <c r="D131" s="2" t="s">
        <v>615</v>
      </c>
      <c r="E131" s="2" t="s">
        <v>616</v>
      </c>
      <c r="F131" s="2" t="s">
        <v>617</v>
      </c>
      <c r="G131" s="2" t="s">
        <v>919</v>
      </c>
      <c r="H131" s="2" t="s">
        <v>984</v>
      </c>
    </row>
    <row r="132" spans="1:8" ht="75">
      <c r="A132" s="2" t="s">
        <v>618</v>
      </c>
      <c r="B132" s="2" t="s">
        <v>619</v>
      </c>
      <c r="C132" s="2" t="s">
        <v>620</v>
      </c>
      <c r="D132" s="2" t="s">
        <v>610</v>
      </c>
      <c r="E132" s="2" t="s">
        <v>249</v>
      </c>
      <c r="F132" s="2" t="s">
        <v>9</v>
      </c>
      <c r="G132" s="2" t="s">
        <v>922</v>
      </c>
      <c r="H132" s="2" t="s">
        <v>985</v>
      </c>
    </row>
    <row r="133" spans="1:8" ht="75">
      <c r="A133" s="2" t="s">
        <v>621</v>
      </c>
      <c r="B133" s="2" t="s">
        <v>837</v>
      </c>
      <c r="C133" s="2" t="s">
        <v>622</v>
      </c>
      <c r="D133" s="2" t="s">
        <v>623</v>
      </c>
      <c r="E133" s="2" t="s">
        <v>594</v>
      </c>
      <c r="F133" s="2" t="s">
        <v>577</v>
      </c>
      <c r="G133" s="2" t="s">
        <v>900</v>
      </c>
      <c r="H133" s="2" t="s">
        <v>986</v>
      </c>
    </row>
    <row r="134" spans="1:8" ht="75">
      <c r="A134" s="2" t="s">
        <v>624</v>
      </c>
      <c r="B134" s="2" t="s">
        <v>625</v>
      </c>
      <c r="C134" s="2" t="s">
        <v>620</v>
      </c>
      <c r="D134" s="2" t="s">
        <v>610</v>
      </c>
      <c r="E134" s="2" t="s">
        <v>249</v>
      </c>
      <c r="F134" s="2" t="s">
        <v>9</v>
      </c>
      <c r="G134" s="2" t="s">
        <v>922</v>
      </c>
      <c r="H134" s="2" t="s">
        <v>987</v>
      </c>
    </row>
    <row r="135" spans="1:8" ht="75">
      <c r="A135" s="2" t="s">
        <v>626</v>
      </c>
      <c r="B135" s="2" t="s">
        <v>627</v>
      </c>
      <c r="C135" s="2" t="s">
        <v>594</v>
      </c>
      <c r="D135" s="2" t="s">
        <v>617</v>
      </c>
      <c r="E135" s="2" t="s">
        <v>623</v>
      </c>
      <c r="F135" s="2" t="s">
        <v>628</v>
      </c>
      <c r="G135" s="2" t="s">
        <v>911</v>
      </c>
      <c r="H135" s="2" t="s">
        <v>988</v>
      </c>
    </row>
    <row r="136" spans="1:8" ht="75">
      <c r="A136" s="2" t="s">
        <v>629</v>
      </c>
      <c r="B136" s="2" t="s">
        <v>630</v>
      </c>
      <c r="C136" s="2" t="s">
        <v>620</v>
      </c>
      <c r="D136" s="2" t="s">
        <v>610</v>
      </c>
      <c r="E136" s="2" t="s">
        <v>249</v>
      </c>
      <c r="F136" s="2" t="s">
        <v>9</v>
      </c>
      <c r="G136" s="2" t="s">
        <v>922</v>
      </c>
      <c r="H136" s="2" t="s">
        <v>989</v>
      </c>
    </row>
    <row r="137" spans="1:8" ht="75">
      <c r="A137" s="2" t="s">
        <v>631</v>
      </c>
      <c r="B137" s="2" t="s">
        <v>632</v>
      </c>
      <c r="C137" s="2" t="s">
        <v>633</v>
      </c>
      <c r="D137" s="2" t="s">
        <v>634</v>
      </c>
      <c r="E137" s="2" t="s">
        <v>635</v>
      </c>
      <c r="F137" s="2" t="s">
        <v>636</v>
      </c>
      <c r="G137" s="2" t="s">
        <v>900</v>
      </c>
      <c r="H137" s="2" t="s">
        <v>990</v>
      </c>
    </row>
    <row r="138" spans="1:8" ht="75">
      <c r="A138" s="2" t="s">
        <v>637</v>
      </c>
      <c r="B138" s="2" t="s">
        <v>638</v>
      </c>
      <c r="C138" s="2" t="s">
        <v>639</v>
      </c>
      <c r="D138" s="2" t="s">
        <v>640</v>
      </c>
      <c r="E138" s="2" t="s">
        <v>641</v>
      </c>
      <c r="F138" s="2" t="s">
        <v>642</v>
      </c>
      <c r="G138" s="2" t="s">
        <v>919</v>
      </c>
      <c r="H138" s="2" t="s">
        <v>991</v>
      </c>
    </row>
    <row r="139" spans="1:8" ht="60">
      <c r="A139" s="2" t="s">
        <v>643</v>
      </c>
      <c r="B139" s="2" t="s">
        <v>644</v>
      </c>
      <c r="C139" s="2" t="s">
        <v>645</v>
      </c>
      <c r="D139" s="2" t="s">
        <v>646</v>
      </c>
      <c r="E139" s="2" t="s">
        <v>647</v>
      </c>
      <c r="F139" s="2" t="s">
        <v>648</v>
      </c>
      <c r="G139" s="2" t="s">
        <v>911</v>
      </c>
      <c r="H139" s="2" t="s">
        <v>992</v>
      </c>
    </row>
    <row r="140" spans="1:8" ht="90">
      <c r="A140" s="2" t="s">
        <v>649</v>
      </c>
      <c r="B140" s="2" t="s">
        <v>650</v>
      </c>
      <c r="C140" s="2" t="s">
        <v>651</v>
      </c>
      <c r="D140" s="2" t="s">
        <v>652</v>
      </c>
      <c r="E140" s="2" t="s">
        <v>653</v>
      </c>
      <c r="F140" s="2" t="s">
        <v>81</v>
      </c>
      <c r="G140" s="2" t="s">
        <v>922</v>
      </c>
      <c r="H140" s="2" t="s">
        <v>838</v>
      </c>
    </row>
    <row r="141" spans="1:8" ht="45">
      <c r="A141" s="2" t="s">
        <v>654</v>
      </c>
      <c r="B141" s="2" t="s">
        <v>655</v>
      </c>
      <c r="C141" s="2" t="s">
        <v>656</v>
      </c>
      <c r="D141" s="2" t="s">
        <v>657</v>
      </c>
      <c r="E141" s="2" t="s">
        <v>658</v>
      </c>
      <c r="F141" s="2" t="s">
        <v>659</v>
      </c>
      <c r="G141" s="2" t="s">
        <v>911</v>
      </c>
      <c r="H141" s="2" t="s">
        <v>839</v>
      </c>
    </row>
    <row r="142" spans="1:8" ht="60">
      <c r="A142" s="2" t="s">
        <v>660</v>
      </c>
      <c r="B142" s="2" t="s">
        <v>840</v>
      </c>
      <c r="C142" s="2" t="s">
        <v>661</v>
      </c>
      <c r="D142" s="2" t="s">
        <v>662</v>
      </c>
      <c r="E142" s="2" t="s">
        <v>663</v>
      </c>
      <c r="F142" s="2" t="s">
        <v>9</v>
      </c>
      <c r="G142" s="2" t="s">
        <v>922</v>
      </c>
      <c r="H142" s="2" t="s">
        <v>841</v>
      </c>
    </row>
    <row r="143" spans="1:8" ht="60">
      <c r="A143" s="2" t="s">
        <v>664</v>
      </c>
      <c r="B143" s="2" t="s">
        <v>665</v>
      </c>
      <c r="C143" s="2" t="s">
        <v>666</v>
      </c>
      <c r="D143" s="2" t="s">
        <v>667</v>
      </c>
      <c r="E143" s="2" t="s">
        <v>668</v>
      </c>
      <c r="F143" s="2" t="s">
        <v>669</v>
      </c>
      <c r="G143" s="2" t="s">
        <v>911</v>
      </c>
      <c r="H143" s="2" t="s">
        <v>842</v>
      </c>
    </row>
    <row r="144" spans="1:8" ht="60">
      <c r="A144" s="2" t="s">
        <v>670</v>
      </c>
      <c r="B144" s="2" t="s">
        <v>671</v>
      </c>
      <c r="C144" s="2" t="s">
        <v>672</v>
      </c>
      <c r="D144" s="2" t="s">
        <v>673</v>
      </c>
      <c r="E144" s="2" t="s">
        <v>674</v>
      </c>
      <c r="F144" s="2" t="s">
        <v>9</v>
      </c>
      <c r="G144" s="2" t="s">
        <v>922</v>
      </c>
      <c r="H144" s="2" t="s">
        <v>843</v>
      </c>
    </row>
    <row r="145" spans="1:8" ht="60">
      <c r="A145" s="2" t="s">
        <v>675</v>
      </c>
      <c r="B145" s="2" t="s">
        <v>676</v>
      </c>
      <c r="C145" s="2" t="s">
        <v>677</v>
      </c>
      <c r="D145" s="2" t="s">
        <v>678</v>
      </c>
      <c r="E145" s="2" t="s">
        <v>679</v>
      </c>
      <c r="F145" s="2" t="s">
        <v>680</v>
      </c>
      <c r="G145" s="2" t="s">
        <v>919</v>
      </c>
      <c r="H145" s="2" t="s">
        <v>844</v>
      </c>
    </row>
    <row r="146" spans="1:8" ht="45">
      <c r="A146" s="2" t="s">
        <v>681</v>
      </c>
      <c r="B146" s="2" t="s">
        <v>682</v>
      </c>
      <c r="C146" s="2" t="s">
        <v>683</v>
      </c>
      <c r="D146" s="2" t="s">
        <v>684</v>
      </c>
      <c r="E146" s="2" t="s">
        <v>685</v>
      </c>
      <c r="F146" s="2" t="s">
        <v>686</v>
      </c>
      <c r="G146" s="2" t="s">
        <v>900</v>
      </c>
      <c r="H146" s="2" t="s">
        <v>845</v>
      </c>
    </row>
    <row r="147" spans="1:8" ht="45">
      <c r="A147" s="2" t="s">
        <v>687</v>
      </c>
      <c r="B147" s="2" t="s">
        <v>688</v>
      </c>
      <c r="C147" s="2" t="s">
        <v>689</v>
      </c>
      <c r="D147" s="2" t="s">
        <v>690</v>
      </c>
      <c r="E147" s="2" t="s">
        <v>691</v>
      </c>
      <c r="F147" s="2" t="s">
        <v>9</v>
      </c>
      <c r="G147" s="2" t="s">
        <v>919</v>
      </c>
      <c r="H147" s="2" t="s">
        <v>846</v>
      </c>
    </row>
    <row r="148" spans="1:8" ht="120">
      <c r="A148" s="2" t="s">
        <v>692</v>
      </c>
      <c r="B148" s="2" t="s">
        <v>693</v>
      </c>
      <c r="C148" s="2" t="s">
        <v>247</v>
      </c>
      <c r="D148" s="2" t="s">
        <v>248</v>
      </c>
      <c r="E148" s="2" t="s">
        <v>435</v>
      </c>
      <c r="F148" s="2" t="s">
        <v>9</v>
      </c>
      <c r="G148" s="2" t="s">
        <v>922</v>
      </c>
      <c r="H148" s="2" t="s">
        <v>993</v>
      </c>
    </row>
    <row r="149" spans="1:8" ht="90">
      <c r="A149" s="2" t="s">
        <v>694</v>
      </c>
      <c r="B149" s="2" t="s">
        <v>695</v>
      </c>
      <c r="C149" s="2" t="s">
        <v>696</v>
      </c>
      <c r="D149" s="2" t="s">
        <v>697</v>
      </c>
      <c r="E149" s="2" t="s">
        <v>698</v>
      </c>
      <c r="F149" s="2" t="s">
        <v>9</v>
      </c>
      <c r="G149" s="2" t="s">
        <v>922</v>
      </c>
      <c r="H149" s="2" t="s">
        <v>917</v>
      </c>
    </row>
    <row r="150" spans="1:8" ht="90">
      <c r="A150" s="2" t="s">
        <v>699</v>
      </c>
      <c r="B150" s="2" t="s">
        <v>700</v>
      </c>
      <c r="C150" s="2" t="s">
        <v>701</v>
      </c>
      <c r="D150" s="2" t="s">
        <v>702</v>
      </c>
      <c r="E150" s="2" t="s">
        <v>248</v>
      </c>
      <c r="F150" s="2" t="s">
        <v>703</v>
      </c>
      <c r="G150" s="2" t="s">
        <v>919</v>
      </c>
      <c r="H150" s="2" t="s">
        <v>994</v>
      </c>
    </row>
    <row r="151" spans="1:8" ht="90">
      <c r="A151" s="2" t="s">
        <v>704</v>
      </c>
      <c r="B151" s="2" t="s">
        <v>705</v>
      </c>
      <c r="C151" s="2" t="s">
        <v>706</v>
      </c>
      <c r="D151" s="2" t="s">
        <v>248</v>
      </c>
      <c r="E151" s="2" t="s">
        <v>707</v>
      </c>
      <c r="F151" s="2" t="s">
        <v>708</v>
      </c>
      <c r="G151" s="2" t="s">
        <v>911</v>
      </c>
      <c r="H151" s="2" t="s">
        <v>921</v>
      </c>
    </row>
    <row r="152" spans="1:8" ht="90">
      <c r="A152" s="2" t="s">
        <v>709</v>
      </c>
      <c r="B152" s="2" t="s">
        <v>710</v>
      </c>
      <c r="C152" s="2" t="s">
        <v>711</v>
      </c>
      <c r="D152" s="2" t="s">
        <v>712</v>
      </c>
      <c r="E152" s="2" t="s">
        <v>713</v>
      </c>
      <c r="F152" s="2" t="s">
        <v>9</v>
      </c>
      <c r="G152" s="2" t="s">
        <v>922</v>
      </c>
      <c r="H152" s="2" t="s">
        <v>918</v>
      </c>
    </row>
    <row r="153" spans="1:8" ht="105">
      <c r="A153" s="2" t="s">
        <v>714</v>
      </c>
      <c r="B153" s="2" t="s">
        <v>715</v>
      </c>
      <c r="C153" s="2" t="s">
        <v>716</v>
      </c>
      <c r="D153" s="2" t="s">
        <v>717</v>
      </c>
      <c r="E153" s="2" t="s">
        <v>718</v>
      </c>
      <c r="F153" s="2" t="s">
        <v>27</v>
      </c>
      <c r="G153" s="2" t="s">
        <v>900</v>
      </c>
      <c r="H153" s="2" t="s">
        <v>995</v>
      </c>
    </row>
    <row r="154" spans="1:8" ht="90">
      <c r="A154" s="2" t="s">
        <v>719</v>
      </c>
      <c r="B154" s="2" t="s">
        <v>720</v>
      </c>
      <c r="C154" s="2" t="s">
        <v>721</v>
      </c>
      <c r="D154" s="2" t="s">
        <v>722</v>
      </c>
      <c r="E154" s="2" t="s">
        <v>723</v>
      </c>
      <c r="F154" s="2" t="s">
        <v>724</v>
      </c>
      <c r="G154" s="2" t="s">
        <v>911</v>
      </c>
      <c r="H154" s="2" t="s">
        <v>996</v>
      </c>
    </row>
    <row r="155" spans="1:8" ht="90">
      <c r="A155" s="2" t="s">
        <v>725</v>
      </c>
      <c r="B155" s="2" t="s">
        <v>726</v>
      </c>
      <c r="C155" s="2" t="s">
        <v>727</v>
      </c>
      <c r="D155" s="2" t="s">
        <v>728</v>
      </c>
      <c r="E155" s="2" t="s">
        <v>729</v>
      </c>
      <c r="F155" s="2" t="s">
        <v>730</v>
      </c>
      <c r="G155" s="2" t="s">
        <v>911</v>
      </c>
      <c r="H155" s="2" t="s">
        <v>997</v>
      </c>
    </row>
    <row r="156" spans="1:8" ht="45">
      <c r="A156" s="2" t="s">
        <v>731</v>
      </c>
      <c r="B156" s="2" t="s">
        <v>732</v>
      </c>
      <c r="C156" s="2" t="s">
        <v>733</v>
      </c>
      <c r="D156" s="2" t="s">
        <v>734</v>
      </c>
      <c r="E156" s="2" t="s">
        <v>735</v>
      </c>
      <c r="F156" s="2" t="s">
        <v>736</v>
      </c>
      <c r="G156" s="2" t="s">
        <v>919</v>
      </c>
      <c r="H156" s="2" t="s">
        <v>737</v>
      </c>
    </row>
    <row r="157" spans="1:8" ht="135">
      <c r="A157" s="2" t="s">
        <v>738</v>
      </c>
      <c r="B157" s="2" t="s">
        <v>739</v>
      </c>
      <c r="C157" s="2" t="s">
        <v>740</v>
      </c>
      <c r="D157" s="2" t="s">
        <v>741</v>
      </c>
      <c r="E157" s="2" t="s">
        <v>742</v>
      </c>
      <c r="F157" s="2" t="s">
        <v>27</v>
      </c>
      <c r="G157" s="2" t="s">
        <v>900</v>
      </c>
      <c r="H157" s="2" t="s">
        <v>847</v>
      </c>
    </row>
    <row r="158" spans="1:8" ht="45">
      <c r="A158" s="2" t="s">
        <v>743</v>
      </c>
      <c r="B158" s="2" t="s">
        <v>744</v>
      </c>
      <c r="C158" s="2" t="s">
        <v>745</v>
      </c>
      <c r="D158" s="2" t="s">
        <v>746</v>
      </c>
      <c r="E158" s="2" t="s">
        <v>747</v>
      </c>
      <c r="F158" s="2" t="s">
        <v>27</v>
      </c>
      <c r="G158" s="2" t="s">
        <v>911</v>
      </c>
      <c r="H158" s="2" t="s">
        <v>737</v>
      </c>
    </row>
    <row r="159" spans="1:8" ht="90">
      <c r="A159" s="2" t="s">
        <v>748</v>
      </c>
      <c r="B159" s="2" t="s">
        <v>744</v>
      </c>
      <c r="C159" s="2" t="s">
        <v>749</v>
      </c>
      <c r="D159" s="2" t="s">
        <v>750</v>
      </c>
      <c r="E159" s="2" t="s">
        <v>9</v>
      </c>
      <c r="F159" s="2" t="s">
        <v>27</v>
      </c>
      <c r="G159" s="2" t="s">
        <v>919</v>
      </c>
      <c r="H159" s="2" t="s">
        <v>848</v>
      </c>
    </row>
    <row r="160" spans="1:8" ht="105">
      <c r="A160" s="2" t="s">
        <v>751</v>
      </c>
      <c r="B160" s="2" t="s">
        <v>752</v>
      </c>
      <c r="C160" s="2" t="s">
        <v>753</v>
      </c>
      <c r="D160" s="2" t="s">
        <v>754</v>
      </c>
      <c r="E160" s="2" t="s">
        <v>755</v>
      </c>
      <c r="F160" s="2" t="s">
        <v>756</v>
      </c>
      <c r="G160" s="2" t="s">
        <v>900</v>
      </c>
      <c r="H160" s="2" t="s">
        <v>849</v>
      </c>
    </row>
    <row r="161" spans="1:8" ht="105">
      <c r="A161" s="2" t="s">
        <v>757</v>
      </c>
      <c r="B161" s="2" t="s">
        <v>758</v>
      </c>
      <c r="C161" s="2" t="s">
        <v>759</v>
      </c>
      <c r="D161" s="2" t="s">
        <v>760</v>
      </c>
      <c r="E161" s="2" t="s">
        <v>761</v>
      </c>
      <c r="F161" s="2" t="s">
        <v>762</v>
      </c>
      <c r="G161" s="2" t="s">
        <v>919</v>
      </c>
      <c r="H161" s="2" t="s">
        <v>850</v>
      </c>
    </row>
    <row r="162" spans="1:8" ht="105">
      <c r="A162" s="2" t="s">
        <v>763</v>
      </c>
      <c r="B162" s="2" t="s">
        <v>764</v>
      </c>
      <c r="C162" s="2" t="s">
        <v>765</v>
      </c>
      <c r="D162" s="2" t="s">
        <v>766</v>
      </c>
      <c r="E162" s="2" t="s">
        <v>767</v>
      </c>
      <c r="F162" s="2" t="s">
        <v>9</v>
      </c>
      <c r="G162" s="2" t="s">
        <v>919</v>
      </c>
      <c r="H162" s="2" t="s">
        <v>851</v>
      </c>
    </row>
    <row r="163" spans="1:8" ht="150">
      <c r="A163" s="2" t="s">
        <v>768</v>
      </c>
      <c r="B163" s="2" t="s">
        <v>769</v>
      </c>
      <c r="C163" s="2" t="s">
        <v>770</v>
      </c>
      <c r="D163" s="2" t="s">
        <v>771</v>
      </c>
      <c r="E163" s="2" t="s">
        <v>772</v>
      </c>
      <c r="F163" s="2" t="s">
        <v>9</v>
      </c>
      <c r="G163" s="2" t="s">
        <v>922</v>
      </c>
      <c r="H163" s="2" t="s">
        <v>998</v>
      </c>
    </row>
    <row r="164" spans="1:8" ht="75">
      <c r="A164" s="2" t="s">
        <v>773</v>
      </c>
      <c r="B164" s="2" t="s">
        <v>774</v>
      </c>
      <c r="C164" s="2" t="s">
        <v>775</v>
      </c>
      <c r="D164" s="2" t="s">
        <v>776</v>
      </c>
      <c r="E164" s="2" t="s">
        <v>594</v>
      </c>
      <c r="F164" s="2" t="s">
        <v>9</v>
      </c>
      <c r="G164" s="2" t="s">
        <v>900</v>
      </c>
      <c r="H164" s="2" t="s">
        <v>896</v>
      </c>
    </row>
    <row r="165" spans="1:8" ht="60">
      <c r="A165" s="2" t="s">
        <v>777</v>
      </c>
      <c r="B165" s="2" t="s">
        <v>778</v>
      </c>
      <c r="C165" s="2" t="s">
        <v>779</v>
      </c>
      <c r="D165" s="2" t="s">
        <v>780</v>
      </c>
      <c r="E165" s="2" t="s">
        <v>781</v>
      </c>
      <c r="F165" s="2" t="s">
        <v>9</v>
      </c>
      <c r="G165" s="2" t="s">
        <v>911</v>
      </c>
      <c r="H165" s="2" t="s">
        <v>829</v>
      </c>
    </row>
    <row r="166" spans="1:8" ht="60">
      <c r="A166" s="2" t="s">
        <v>782</v>
      </c>
      <c r="B166" s="2" t="s">
        <v>783</v>
      </c>
      <c r="C166" s="2" t="s">
        <v>784</v>
      </c>
      <c r="D166" s="2" t="s">
        <v>785</v>
      </c>
      <c r="E166" s="2" t="s">
        <v>786</v>
      </c>
      <c r="F166" s="2" t="s">
        <v>27</v>
      </c>
      <c r="G166" s="2" t="s">
        <v>919</v>
      </c>
      <c r="H166" s="2" t="s">
        <v>832</v>
      </c>
    </row>
    <row r="167" spans="1:8" ht="60">
      <c r="A167" s="2" t="s">
        <v>787</v>
      </c>
      <c r="B167" s="2" t="s">
        <v>788</v>
      </c>
      <c r="C167" s="2" t="s">
        <v>789</v>
      </c>
      <c r="D167" s="2" t="s">
        <v>790</v>
      </c>
      <c r="E167" s="2" t="s">
        <v>791</v>
      </c>
      <c r="F167" s="2" t="s">
        <v>27</v>
      </c>
      <c r="G167" s="2" t="s">
        <v>911</v>
      </c>
      <c r="H167" s="2" t="s">
        <v>831</v>
      </c>
    </row>
    <row r="168" spans="1:8" ht="60">
      <c r="A168" s="2" t="s">
        <v>792</v>
      </c>
      <c r="B168" s="2" t="s">
        <v>793</v>
      </c>
      <c r="C168" s="2" t="s">
        <v>794</v>
      </c>
      <c r="D168" s="2" t="s">
        <v>795</v>
      </c>
      <c r="E168" s="2" t="s">
        <v>796</v>
      </c>
      <c r="F168" s="2" t="s">
        <v>27</v>
      </c>
      <c r="G168" s="2" t="s">
        <v>900</v>
      </c>
      <c r="H168" s="2" t="s">
        <v>830</v>
      </c>
    </row>
    <row r="169" spans="1:8" ht="60">
      <c r="A169" s="2" t="s">
        <v>797</v>
      </c>
      <c r="B169" s="2" t="s">
        <v>798</v>
      </c>
      <c r="C169" s="2" t="s">
        <v>799</v>
      </c>
      <c r="D169" s="2" t="s">
        <v>800</v>
      </c>
      <c r="E169" s="2" t="s">
        <v>801</v>
      </c>
      <c r="F169" s="2" t="s">
        <v>27</v>
      </c>
      <c r="G169" s="2" t="s">
        <v>900</v>
      </c>
      <c r="H169" s="2" t="s">
        <v>833</v>
      </c>
    </row>
    <row r="170" spans="1:8" ht="60">
      <c r="A170" s="2" t="s">
        <v>802</v>
      </c>
      <c r="B170" s="2" t="s">
        <v>803</v>
      </c>
      <c r="C170" s="2" t="s">
        <v>804</v>
      </c>
      <c r="D170" s="2" t="s">
        <v>805</v>
      </c>
      <c r="E170" s="2" t="s">
        <v>806</v>
      </c>
      <c r="F170" s="2" t="s">
        <v>27</v>
      </c>
      <c r="G170" s="2" t="s">
        <v>919</v>
      </c>
      <c r="H170" s="2" t="s">
        <v>834</v>
      </c>
    </row>
    <row r="171" spans="1:8" ht="75">
      <c r="A171" s="2" t="s">
        <v>807</v>
      </c>
      <c r="B171" s="2" t="s">
        <v>808</v>
      </c>
      <c r="C171" s="2" t="s">
        <v>809</v>
      </c>
      <c r="D171" s="2" t="s">
        <v>810</v>
      </c>
      <c r="E171" s="2" t="s">
        <v>811</v>
      </c>
      <c r="F171" s="2" t="s">
        <v>27</v>
      </c>
      <c r="G171" s="2" t="s">
        <v>911</v>
      </c>
      <c r="H171" s="2" t="s">
        <v>835</v>
      </c>
    </row>
    <row r="172" spans="1:8" ht="75">
      <c r="A172" s="2" t="s">
        <v>812</v>
      </c>
      <c r="B172" s="2" t="s">
        <v>813</v>
      </c>
      <c r="C172" s="2" t="s">
        <v>814</v>
      </c>
      <c r="D172" s="2" t="s">
        <v>815</v>
      </c>
      <c r="E172" s="2" t="s">
        <v>816</v>
      </c>
      <c r="F172" s="2" t="s">
        <v>27</v>
      </c>
      <c r="G172" s="2" t="s">
        <v>900</v>
      </c>
      <c r="H172" s="2" t="s">
        <v>836</v>
      </c>
    </row>
    <row r="173" spans="1:8" ht="45">
      <c r="A173" s="2" t="s">
        <v>817</v>
      </c>
      <c r="B173" s="2" t="s">
        <v>818</v>
      </c>
      <c r="C173" s="2" t="s">
        <v>706</v>
      </c>
      <c r="D173" s="2" t="s">
        <v>819</v>
      </c>
      <c r="E173" s="2" t="s">
        <v>820</v>
      </c>
      <c r="F173" s="2" t="s">
        <v>9</v>
      </c>
      <c r="G173" s="2" t="s">
        <v>911</v>
      </c>
      <c r="H173" s="2" t="s">
        <v>999</v>
      </c>
    </row>
  </sheetData>
  <autoFilter ref="A1:H92" xr:uid="{00000000-0009-0000-0000-000000000000}"/>
  <phoneticPr fontId="1" type="noConversion"/>
  <pageMargins left="0.75" right="0.75" top="1" bottom="1" header="0.5" footer="0.5"/>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25"/>
  <sheetViews>
    <sheetView workbookViewId="0">
      <pane xSplit="2" ySplit="4" topLeftCell="C818" activePane="bottomRight" state="frozen"/>
      <selection pane="topRight" activeCell="C1" sqref="C1"/>
      <selection pane="bottomLeft" activeCell="A5" sqref="A5"/>
      <selection pane="bottomRight" activeCell="C822" sqref="C822"/>
    </sheetView>
  </sheetViews>
  <sheetFormatPr baseColWidth="10" defaultColWidth="9" defaultRowHeight="14"/>
  <cols>
    <col min="1" max="1" width="5.19921875" style="6" customWidth="1"/>
    <col min="2" max="3" width="47.59765625" style="6" customWidth="1"/>
    <col min="4" max="7" width="12.796875" style="6" customWidth="1"/>
    <col min="8" max="8" width="6.19921875" style="6" customWidth="1"/>
    <col min="9" max="9" width="80" style="6" customWidth="1"/>
    <col min="10" max="16384" width="9" style="6"/>
  </cols>
  <sheetData>
    <row r="1" spans="1:9" ht="30">
      <c r="A1" s="5" t="s">
        <v>0</v>
      </c>
      <c r="B1" s="5" t="s">
        <v>1</v>
      </c>
      <c r="C1" s="5" t="s">
        <v>823</v>
      </c>
      <c r="D1" s="5" t="s">
        <v>2</v>
      </c>
      <c r="E1" s="5" t="s">
        <v>3</v>
      </c>
      <c r="F1" s="5" t="s">
        <v>4</v>
      </c>
      <c r="G1" s="5" t="s">
        <v>5</v>
      </c>
      <c r="H1" s="5" t="s">
        <v>6</v>
      </c>
      <c r="I1" s="5" t="s">
        <v>7</v>
      </c>
    </row>
    <row r="2" spans="1:9" ht="15">
      <c r="A2" s="5"/>
      <c r="B2" s="5"/>
      <c r="C2" s="5" t="s">
        <v>824</v>
      </c>
      <c r="D2" s="5"/>
      <c r="E2" s="5"/>
      <c r="F2" s="5"/>
      <c r="G2" s="5"/>
      <c r="H2" s="5"/>
      <c r="I2" s="5"/>
    </row>
    <row r="3" spans="1:9" ht="15">
      <c r="A3" s="5"/>
      <c r="B3" s="5"/>
      <c r="C3" s="5" t="s">
        <v>825</v>
      </c>
      <c r="D3" s="5"/>
      <c r="E3" s="5"/>
      <c r="F3" s="5"/>
      <c r="G3" s="5"/>
      <c r="H3" s="5"/>
      <c r="I3" s="5"/>
    </row>
    <row r="4" spans="1:9" ht="5.5" customHeight="1">
      <c r="A4" s="5"/>
      <c r="B4" s="5"/>
      <c r="C4" s="5"/>
      <c r="D4" s="5"/>
      <c r="E4" s="5"/>
      <c r="F4" s="5"/>
      <c r="G4" s="5"/>
      <c r="H4" s="5"/>
      <c r="I4" s="5"/>
    </row>
    <row r="5" spans="1:9" s="3" customFormat="1" ht="45">
      <c r="A5" s="4" t="str">
        <f>dB題庫!A2</f>
        <v>1</v>
      </c>
      <c r="B5" s="4" t="str">
        <f>dB題庫!B2</f>
        <v>遙控無人機系統包含下列哪項主要次系統</v>
      </c>
      <c r="C5" s="4" t="str">
        <f>A5&amp;"."&amp;B5</f>
        <v>1.遙控無人機系統包含下列哪項主要次系統</v>
      </c>
      <c r="D5" s="4" t="str">
        <f>dB題庫!C2</f>
        <v>遙控無人機體。</v>
      </c>
      <c r="E5" s="4" t="str">
        <f>dB題庫!D2</f>
        <v>遙控設備。</v>
      </c>
      <c r="F5" s="4" t="str">
        <f>dB題庫!E2</f>
        <v>通訊及控制信號鏈路。</v>
      </c>
      <c r="G5" s="4" t="str">
        <f>dB題庫!F2</f>
        <v>以上皆是。</v>
      </c>
      <c r="H5" s="4" t="str">
        <f>dB題庫!G2</f>
        <v>D.</v>
      </c>
      <c r="I5" s="4" t="str">
        <f>dB題庫!H2</f>
        <v>遙控無人機系統(U A O S / R P A S)並非單指飛行載具本身，而是由機體、地面控制設備(遙控器/地面站)以及兩者之間負責傳輸指令與數據的通訊控制信號鏈路共同組成，三者缺一不可。</v>
      </c>
    </row>
    <row r="6" spans="1:9" s="3" customFormat="1" ht="15">
      <c r="A6" s="2"/>
      <c r="B6" s="1"/>
      <c r="C6" s="7" t="str">
        <f>"(A.)"&amp;D5</f>
        <v>(A.)遙控無人機體。</v>
      </c>
      <c r="D6" s="2"/>
      <c r="E6" s="2"/>
      <c r="F6" s="2"/>
      <c r="G6" s="2"/>
      <c r="H6" s="2"/>
      <c r="I6" s="2"/>
    </row>
    <row r="7" spans="1:9" s="3" customFormat="1" ht="15">
      <c r="A7" s="2"/>
      <c r="B7" s="1"/>
      <c r="C7" s="7" t="str">
        <f>"(B.)"&amp;E5</f>
        <v>(B.)遙控設備。</v>
      </c>
      <c r="D7" s="2"/>
      <c r="E7" s="2"/>
      <c r="F7" s="2"/>
      <c r="G7" s="2"/>
      <c r="H7" s="2"/>
      <c r="I7" s="2"/>
    </row>
    <row r="8" spans="1:9" s="3" customFormat="1" ht="15">
      <c r="A8" s="2"/>
      <c r="B8" s="2"/>
      <c r="C8" s="7" t="str">
        <f>"(C.)"&amp;F5</f>
        <v>(C.)通訊及控制信號鏈路。</v>
      </c>
      <c r="D8" s="2"/>
      <c r="E8" s="2"/>
      <c r="F8" s="2"/>
      <c r="G8" s="2"/>
      <c r="H8" s="2"/>
      <c r="I8" s="2"/>
    </row>
    <row r="9" spans="1:9" s="3" customFormat="1" ht="15">
      <c r="A9" s="2"/>
      <c r="B9" s="2"/>
      <c r="C9" s="7" t="str">
        <f>"(D.)"&amp;G5</f>
        <v>(D.)以上皆是。</v>
      </c>
      <c r="D9" s="2"/>
      <c r="E9" s="2"/>
      <c r="F9" s="2"/>
      <c r="G9" s="2"/>
      <c r="H9" s="2"/>
      <c r="I9" s="2"/>
    </row>
    <row r="10" spans="1:9" s="3" customFormat="1" ht="15">
      <c r="A10" s="2"/>
      <c r="B10" s="2"/>
      <c r="C10" s="7" t="str">
        <f>"答案是： "&amp;IF(H5="A.",C6,IF(H5="B.",C7,IF(H5="C.",C8,IF(H5=("D."),C9,"XXXX"))))</f>
        <v>答案是： (D.)以上皆是。</v>
      </c>
      <c r="D10" s="2"/>
      <c r="E10" s="2"/>
      <c r="F10" s="2"/>
      <c r="G10" s="2"/>
      <c r="H10" s="2"/>
      <c r="I10" s="2"/>
    </row>
    <row r="11" spans="1:9" s="3" customFormat="1" ht="75">
      <c r="A11" s="2"/>
      <c r="B11" s="2"/>
      <c r="C11" s="7" t="str">
        <f>"說明："&amp;I5</f>
        <v>說明：遙控無人機系統(U A O S / R P A S)並非單指飛行載具本身，而是由機體、地面控制設備(遙控器/地面站)以及兩者之間負責傳輸指令與數據的通訊控制信號鏈路共同組成，三者缺一不可。</v>
      </c>
      <c r="D11" s="2"/>
      <c r="E11" s="2"/>
      <c r="F11" s="2"/>
      <c r="G11" s="2"/>
      <c r="H11" s="2"/>
      <c r="I11" s="2"/>
    </row>
    <row r="12" spans="1:9" s="3" customFormat="1" ht="75">
      <c r="A12" s="4" t="str">
        <f>dB題庫!A3</f>
        <v>2</v>
      </c>
      <c r="B12" s="4" t="str">
        <f>dB題庫!B3</f>
        <v>遙控無人機系統之飛行載具,包括下列哪些項目</v>
      </c>
      <c r="C12" s="4" t="str">
        <f>A12&amp;"."&amp;B12</f>
        <v>2.遙控無人機系統之飛行載具,包括下列哪些項目</v>
      </c>
      <c r="D12" s="4" t="str">
        <f>dB題庫!C3</f>
        <v>機體、負載設備及酬載。</v>
      </c>
      <c r="E12" s="4" t="str">
        <f>dB題庫!D3</f>
        <v>機體、燃料或電池。</v>
      </c>
      <c r="F12" s="4" t="str">
        <f>dB題庫!E3</f>
        <v>機體、燃料或電池、負載設備及酬載。</v>
      </c>
      <c r="G12" s="4" t="str">
        <f>dB題庫!F3</f>
        <v>機體、燃料或電池、負載設備及酬載、遙控設備。</v>
      </c>
      <c r="H12" s="4" t="str">
        <f>dB題庫!G3</f>
        <v>C.</v>
      </c>
      <c r="I12" s="4" t="str">
        <f>dB題庫!H3</f>
        <v>飛行載具(Air Craft)本身泛指在空中飛行的本體部分，包含結構機體、提供能量的燃料或電池，以及執行任務所需的負載設備與酬載(如相機、感測器)。(D.) 選項中的遙控設備屬於地面或控制端系統，不屬於飛行載具本體。
【】三要素：機體、動力(燃料或電池)、酬載</v>
      </c>
    </row>
    <row r="13" spans="1:9" s="3" customFormat="1" ht="15">
      <c r="A13" s="2"/>
      <c r="B13" s="1"/>
      <c r="C13" s="7" t="str">
        <f>"(A.)"&amp;D12</f>
        <v>(A.)機體、負載設備及酬載。</v>
      </c>
      <c r="D13" s="2"/>
      <c r="E13" s="2"/>
      <c r="F13" s="2"/>
      <c r="G13" s="2"/>
      <c r="H13" s="2"/>
      <c r="I13" s="2"/>
    </row>
    <row r="14" spans="1:9" s="3" customFormat="1" ht="15">
      <c r="A14" s="2"/>
      <c r="B14" s="1"/>
      <c r="C14" s="7" t="str">
        <f>"(B.)"&amp;E12</f>
        <v>(B.)機體、燃料或電池。</v>
      </c>
      <c r="D14" s="2"/>
      <c r="E14" s="2"/>
      <c r="F14" s="2"/>
      <c r="G14" s="2"/>
      <c r="H14" s="2"/>
      <c r="I14" s="2"/>
    </row>
    <row r="15" spans="1:9" s="3" customFormat="1" ht="15">
      <c r="A15" s="2"/>
      <c r="B15" s="2"/>
      <c r="C15" s="7" t="str">
        <f>"(C.)"&amp;F12</f>
        <v>(C.)機體、燃料或電池、負載設備及酬載。</v>
      </c>
      <c r="D15" s="2"/>
      <c r="E15" s="2"/>
      <c r="F15" s="2"/>
      <c r="G15" s="2"/>
      <c r="H15" s="2"/>
      <c r="I15" s="2"/>
    </row>
    <row r="16" spans="1:9" s="3" customFormat="1" ht="30">
      <c r="A16" s="2"/>
      <c r="B16" s="2"/>
      <c r="C16" s="7" t="str">
        <f>"(D.)"&amp;G12</f>
        <v>(D.)機體、燃料或電池、負載設備及酬載、遙控設備。</v>
      </c>
      <c r="D16" s="2"/>
      <c r="E16" s="2"/>
      <c r="F16" s="2"/>
      <c r="G16" s="2"/>
      <c r="H16" s="2"/>
      <c r="I16" s="2"/>
    </row>
    <row r="17" spans="1:9" s="3" customFormat="1" ht="30">
      <c r="A17" s="2"/>
      <c r="B17" s="2"/>
      <c r="C17" s="7" t="str">
        <f>"答案是： "&amp;IF(H12="A.",C13,IF(H12="B.",C14,IF(H12="C.",C15,IF(H12=("D."),C16,"XXXX"))))</f>
        <v>答案是： (C.)機體、燃料或電池、負載設備及酬載。</v>
      </c>
      <c r="D17" s="2"/>
      <c r="E17" s="2"/>
      <c r="F17" s="2"/>
      <c r="G17" s="2"/>
      <c r="H17" s="2"/>
      <c r="I17" s="2"/>
    </row>
    <row r="18" spans="1:9" s="3" customFormat="1" ht="90">
      <c r="A18" s="2"/>
      <c r="B18" s="2"/>
      <c r="C18" s="7" t="str">
        <f>"說明："&amp;I12</f>
        <v>說明：飛行載具(Air Craft)本身泛指在空中飛行的本體部分，包含結構機體、提供能量的燃料或電池，以及執行任務所需的負載設備與酬載(如相機、感測器)。(D.) 選項中的遙控設備屬於地面或控制端系統，不屬於飛行載具本體。
【】三要素：機體、動力(燃料或電池)、酬載</v>
      </c>
      <c r="D18" s="2"/>
      <c r="E18" s="2"/>
      <c r="F18" s="2"/>
      <c r="G18" s="2"/>
      <c r="H18" s="2"/>
      <c r="I18" s="2"/>
    </row>
    <row r="19" spans="1:9" s="3" customFormat="1" ht="45">
      <c r="A19" s="4" t="str">
        <f>dB題庫!A4</f>
        <v>3</v>
      </c>
      <c r="B19" s="4" t="str">
        <f>dB題庫!B4</f>
        <v>遙控無人機系統之地面控制站的硬體設備,包括下列哪個項目</v>
      </c>
      <c r="C19" s="4" t="str">
        <f>A19&amp;"."&amp;B19</f>
        <v>3.遙控無人機系統之地面控制站的硬體設備,包括下列哪個項目</v>
      </c>
      <c r="D19" s="4" t="str">
        <f>dB題庫!C4</f>
        <v>訊號傳輸設備。</v>
      </c>
      <c r="E19" s="4" t="str">
        <f>dB題庫!D4</f>
        <v>指令傳輸設備。</v>
      </c>
      <c r="F19" s="4" t="str">
        <f>dB題庫!E4</f>
        <v>資訊接收分析設備。</v>
      </c>
      <c r="G19" s="4" t="str">
        <f>dB題庫!F4</f>
        <v>以上皆是。</v>
      </c>
      <c r="H19" s="4" t="str">
        <f>dB題庫!G4</f>
        <v>D.</v>
      </c>
      <c r="I19" s="4" t="str">
        <f>dB題庫!H4</f>
        <v>地面控制站(GCS)硬體必須具備完整的上行指令傳輸、下行訊號與數據流接收，以及將接收到的遙測數據與畫面進行解調、分析、顯示的設備，因此(A.) (B.) (C.) 均包含在內。</v>
      </c>
    </row>
    <row r="20" spans="1:9" s="3" customFormat="1" ht="15">
      <c r="A20" s="2"/>
      <c r="B20" s="1"/>
      <c r="C20" s="7" t="str">
        <f>"(A.)"&amp;D19</f>
        <v>(A.)訊號傳輸設備。</v>
      </c>
      <c r="D20" s="2"/>
      <c r="E20" s="2"/>
      <c r="F20" s="2"/>
      <c r="G20" s="2"/>
      <c r="H20" s="2"/>
      <c r="I20" s="2"/>
    </row>
    <row r="21" spans="1:9" s="3" customFormat="1" ht="15">
      <c r="A21" s="2"/>
      <c r="B21" s="1"/>
      <c r="C21" s="7" t="str">
        <f>"(B.)"&amp;E19</f>
        <v>(B.)指令傳輸設備。</v>
      </c>
      <c r="D21" s="2"/>
      <c r="E21" s="2"/>
      <c r="F21" s="2"/>
      <c r="G21" s="2"/>
      <c r="H21" s="2"/>
      <c r="I21" s="2"/>
    </row>
    <row r="22" spans="1:9" s="3" customFormat="1" ht="15">
      <c r="A22" s="2"/>
      <c r="B22" s="2"/>
      <c r="C22" s="7" t="str">
        <f>"(C.)"&amp;F19</f>
        <v>(C.)資訊接收分析設備。</v>
      </c>
      <c r="D22" s="2"/>
      <c r="E22" s="2"/>
      <c r="F22" s="2"/>
      <c r="G22" s="2"/>
      <c r="H22" s="2"/>
      <c r="I22" s="2"/>
    </row>
    <row r="23" spans="1:9" s="3" customFormat="1" ht="15">
      <c r="A23" s="2"/>
      <c r="B23" s="2"/>
      <c r="C23" s="7" t="str">
        <f>"(D.)"&amp;G19</f>
        <v>(D.)以上皆是。</v>
      </c>
      <c r="D23" s="2"/>
      <c r="E23" s="2"/>
      <c r="F23" s="2"/>
      <c r="G23" s="2"/>
      <c r="H23" s="2"/>
      <c r="I23" s="2"/>
    </row>
    <row r="24" spans="1:9" s="3" customFormat="1" ht="15">
      <c r="A24" s="2"/>
      <c r="B24" s="2"/>
      <c r="C24" s="7" t="str">
        <f>"答案是： "&amp;IF(H19="A.",C20,IF(H19="B.",C21,IF(H19="C.",C22,IF(H19=("D."),C23,"XXXX"))))</f>
        <v>答案是： (D.)以上皆是。</v>
      </c>
      <c r="D24" s="2"/>
      <c r="E24" s="2"/>
      <c r="F24" s="2"/>
      <c r="G24" s="2"/>
      <c r="H24" s="2"/>
      <c r="I24" s="2"/>
    </row>
    <row r="25" spans="1:9" s="3" customFormat="1" ht="60">
      <c r="A25" s="2"/>
      <c r="B25" s="2"/>
      <c r="C25" s="7" t="str">
        <f>"說明："&amp;I19</f>
        <v>說明：地面控制站(GCS)硬體必須具備完整的上行指令傳輸、下行訊號與數據流接收，以及將接收到的遙測數據與畫面進行解調、分析、顯示的設備，因此(A.) (B.) (C.) 均包含在內。</v>
      </c>
      <c r="D25" s="2"/>
      <c r="E25" s="2"/>
      <c r="F25" s="2"/>
      <c r="G25" s="2"/>
      <c r="H25" s="2"/>
      <c r="I25" s="2"/>
    </row>
    <row r="26" spans="1:9" s="3" customFormat="1" ht="30">
      <c r="A26" s="4" t="str">
        <f>dB題庫!A5</f>
        <v>4</v>
      </c>
      <c r="B26" s="4" t="str">
        <f>dB題庫!B5</f>
        <v>遙控無人飛機起飛時,除跑道起飛外,還可運用下列哪項裝置</v>
      </c>
      <c r="C26" s="4" t="str">
        <f>A26&amp;"."&amp;B26</f>
        <v>4.遙控無人飛機起飛時,除跑道起飛外,還可運用下列哪項裝置</v>
      </c>
      <c r="D26" s="4" t="str">
        <f>dB題庫!C5</f>
        <v>火箭助推。</v>
      </c>
      <c r="E26" s="4" t="str">
        <f>dB題庫!D5</f>
        <v>彈射軌道發射。</v>
      </c>
      <c r="F26" s="4" t="str">
        <f>dB題庫!E5</f>
        <v>人力拋擲。</v>
      </c>
      <c r="G26" s="4" t="str">
        <f>dB題庫!F5</f>
        <v>以上皆是。</v>
      </c>
      <c r="H26" s="4" t="str">
        <f>dB題庫!G5</f>
        <v>D.</v>
      </c>
      <c r="I26" s="4" t="str">
        <f>dB題庫!H5</f>
        <v>固定翼無人飛機在沒有足夠跑道環境下，可視機型大小與設計，運用人力手拋(小型機)、彈射發射架(中型機)或火箭助推器(大型或軍用機)等多元手段離地升空。</v>
      </c>
    </row>
    <row r="27" spans="1:9" s="3" customFormat="1" ht="15">
      <c r="A27" s="2"/>
      <c r="B27" s="1"/>
      <c r="C27" s="7" t="str">
        <f>"(A.)"&amp;D26</f>
        <v>(A.)火箭助推。</v>
      </c>
      <c r="D27" s="2"/>
      <c r="E27" s="2"/>
      <c r="F27" s="2"/>
      <c r="G27" s="2"/>
      <c r="H27" s="2"/>
      <c r="I27" s="2"/>
    </row>
    <row r="28" spans="1:9" s="3" customFormat="1" ht="15">
      <c r="A28" s="2"/>
      <c r="B28" s="1"/>
      <c r="C28" s="7" t="str">
        <f>"(B.)"&amp;E26</f>
        <v>(B.)彈射軌道發射。</v>
      </c>
      <c r="D28" s="2"/>
      <c r="E28" s="2"/>
      <c r="F28" s="2"/>
      <c r="G28" s="2"/>
      <c r="H28" s="2"/>
      <c r="I28" s="2"/>
    </row>
    <row r="29" spans="1:9" s="3" customFormat="1" ht="15">
      <c r="A29" s="2"/>
      <c r="B29" s="2"/>
      <c r="C29" s="7" t="str">
        <f>"(C.)"&amp;F26</f>
        <v>(C.)人力拋擲。</v>
      </c>
      <c r="D29" s="2"/>
      <c r="E29" s="2"/>
      <c r="F29" s="2"/>
      <c r="G29" s="2"/>
      <c r="H29" s="2"/>
      <c r="I29" s="2"/>
    </row>
    <row r="30" spans="1:9" s="3" customFormat="1" ht="15">
      <c r="A30" s="2"/>
      <c r="B30" s="2"/>
      <c r="C30" s="7" t="str">
        <f>"(D.)"&amp;G26</f>
        <v>(D.)以上皆是。</v>
      </c>
      <c r="D30" s="2"/>
      <c r="E30" s="2"/>
      <c r="F30" s="2"/>
      <c r="G30" s="2"/>
      <c r="H30" s="2"/>
      <c r="I30" s="2"/>
    </row>
    <row r="31" spans="1:9" s="3" customFormat="1" ht="15">
      <c r="A31" s="2"/>
      <c r="B31" s="2"/>
      <c r="C31" s="7" t="str">
        <f>"答案是： "&amp;IF(H26="A.",C27,IF(H26="B.",C28,IF(H26="C.",C29,IF(H26=("D."),C30,"XXXX"))))</f>
        <v>答案是： (D.)以上皆是。</v>
      </c>
      <c r="D31" s="2"/>
      <c r="E31" s="2"/>
      <c r="F31" s="2"/>
      <c r="G31" s="2"/>
      <c r="H31" s="2"/>
      <c r="I31" s="2"/>
    </row>
    <row r="32" spans="1:9" s="3" customFormat="1" ht="60">
      <c r="A32" s="2"/>
      <c r="B32" s="2"/>
      <c r="C32" s="7" t="str">
        <f>"說明："&amp;I26</f>
        <v>說明：固定翼無人飛機在沒有足夠跑道環境下，可視機型大小與設計，運用人力手拋(小型機)、彈射發射架(中型機)或火箭助推器(大型或軍用機)等多元手段離地升空。</v>
      </c>
      <c r="D32" s="2"/>
      <c r="E32" s="2"/>
      <c r="F32" s="2"/>
      <c r="G32" s="2"/>
      <c r="H32" s="2"/>
      <c r="I32" s="2"/>
    </row>
    <row r="33" spans="1:9" s="3" customFormat="1" ht="30">
      <c r="A33" s="4" t="str">
        <f>dB題庫!A6</f>
        <v>5</v>
      </c>
      <c r="B33" s="4" t="str">
        <f>dB題庫!B6</f>
        <v>遙控無人飛機降落時,除跑道降落外,也可運用下列哪項方式</v>
      </c>
      <c r="C33" s="4" t="str">
        <f>A33&amp;"."&amp;B33</f>
        <v>5.遙控無人飛機降落時,除跑道降落外,也可運用下列哪項方式</v>
      </c>
      <c r="D33" s="4" t="str">
        <f>dB題庫!C6</f>
        <v>攔截網。</v>
      </c>
      <c r="E33" s="4" t="str">
        <f>dB題庫!D6</f>
        <v>纜線勾鎖。</v>
      </c>
      <c r="F33" s="4" t="str">
        <f>dB題庫!E6</f>
        <v>降落傘。</v>
      </c>
      <c r="G33" s="4" t="str">
        <f>dB題庫!F6</f>
        <v>以上皆是。</v>
      </c>
      <c r="H33" s="4" t="str">
        <f>dB題庫!G6</f>
        <v>D.</v>
      </c>
      <c r="I33" s="4" t="str">
        <f>dB題庫!H6</f>
        <v>針對無跑道環境，固定翼遙控無人飛機可配置降落傘強制減速下落，或利用地面攔截網、機腹勾鎖天線/纜線等非傳統跑道滑行方式安全著陸。</v>
      </c>
    </row>
    <row r="34" spans="1:9" s="3" customFormat="1" ht="15">
      <c r="A34" s="2" t="s">
        <v>114</v>
      </c>
      <c r="B34" s="1"/>
      <c r="C34" s="7" t="str">
        <f>"(A.)"&amp;D33</f>
        <v>(A.)攔截網。</v>
      </c>
      <c r="D34" s="2"/>
      <c r="E34" s="2"/>
      <c r="F34" s="2"/>
      <c r="G34" s="2"/>
      <c r="H34" s="2"/>
      <c r="I34" s="2"/>
    </row>
    <row r="35" spans="1:9" s="3" customFormat="1" ht="15">
      <c r="A35" s="2"/>
      <c r="B35" s="1"/>
      <c r="C35" s="7" t="str">
        <f>"(B.)"&amp;E33</f>
        <v>(B.)纜線勾鎖。</v>
      </c>
      <c r="D35" s="2"/>
      <c r="E35" s="2"/>
      <c r="F35" s="2"/>
      <c r="G35" s="2"/>
      <c r="H35" s="2"/>
      <c r="I35" s="2"/>
    </row>
    <row r="36" spans="1:9" s="3" customFormat="1" ht="15">
      <c r="A36" s="2"/>
      <c r="B36" s="2"/>
      <c r="C36" s="7" t="str">
        <f>"(C.)"&amp;F33</f>
        <v>(C.)降落傘。</v>
      </c>
      <c r="D36" s="2"/>
      <c r="E36" s="2"/>
      <c r="F36" s="2"/>
      <c r="G36" s="2"/>
      <c r="H36" s="2"/>
      <c r="I36" s="2"/>
    </row>
    <row r="37" spans="1:9" s="3" customFormat="1" ht="15">
      <c r="A37" s="2"/>
      <c r="B37" s="2"/>
      <c r="C37" s="7" t="str">
        <f>"(D.)"&amp;G33</f>
        <v>(D.)以上皆是。</v>
      </c>
      <c r="D37" s="2"/>
      <c r="E37" s="2"/>
      <c r="F37" s="2"/>
      <c r="G37" s="2"/>
      <c r="H37" s="2"/>
      <c r="I37" s="2"/>
    </row>
    <row r="38" spans="1:9" s="3" customFormat="1" ht="15">
      <c r="A38" s="2"/>
      <c r="B38" s="2"/>
      <c r="C38" s="7" t="str">
        <f>"答案是： "&amp;IF(H33="A.",C34,IF(H33="B.",C35,IF(H33="C.",C36,IF(H33=("D."),C37,"XXXX"))))</f>
        <v>答案是： (D.)以上皆是。</v>
      </c>
      <c r="D38" s="2"/>
      <c r="E38" s="2"/>
      <c r="F38" s="2"/>
      <c r="G38" s="2"/>
      <c r="H38" s="2"/>
      <c r="I38" s="2"/>
    </row>
    <row r="39" spans="1:9" s="3" customFormat="1" ht="60">
      <c r="A39" s="2"/>
      <c r="B39" s="2"/>
      <c r="C39" s="7" t="str">
        <f>"說明："&amp;I33</f>
        <v>說明：針對無跑道環境，固定翼遙控無人飛機可配置降落傘強制減速下落，或利用地面攔截網、機腹勾鎖天線/纜線等非傳統跑道滑行方式安全著陸。</v>
      </c>
      <c r="D39" s="2"/>
      <c r="E39" s="2"/>
      <c r="F39" s="2"/>
      <c r="G39" s="2"/>
      <c r="H39" s="2"/>
      <c r="I39" s="2"/>
    </row>
    <row r="40" spans="1:9" s="3" customFormat="1" ht="45">
      <c r="A40" s="4" t="str">
        <f>dB題庫!A7</f>
        <v>6</v>
      </c>
      <c r="B40" s="4" t="str">
        <f>dB題庫!B7</f>
        <v>遙控無人機許多層面都還是要由人員來掌握及操控,所以下列哪個因素在整體飛行過程中佔了很重要的一部分</v>
      </c>
      <c r="C40" s="4" t="str">
        <f>A40&amp;"."&amp;B40</f>
        <v>6.遙控無人機許多層面都還是要由人員來掌握及操控,所以下列哪個因素在整體飛行過程中佔了很重要的一部分</v>
      </c>
      <c r="D40" s="4" t="str">
        <f>dB題庫!C7</f>
        <v>人為因素。</v>
      </c>
      <c r="E40" s="4" t="str">
        <f>dB題庫!D7</f>
        <v>運氣因素。</v>
      </c>
      <c r="F40" s="4" t="str">
        <f>dB題庫!E7</f>
        <v>社會因素。</v>
      </c>
      <c r="G40" s="4" t="str">
        <f>dB題庫!F7</f>
        <v>歷史因素。</v>
      </c>
      <c r="H40" s="4" t="str">
        <f>dB題庫!G7</f>
        <v>A.</v>
      </c>
      <c r="I40" s="4" t="str">
        <f>dB題庫!H7</f>
        <v>無論無人機自動化程度多高，其航線規劃、緊急應變、操控決策與維護依然高度仰賴操作人，因此航空安全管理中「人為因素(Human Factors)」是預防失事最核心的一環。</v>
      </c>
    </row>
    <row r="41" spans="1:9" s="3" customFormat="1" ht="15">
      <c r="A41" s="2" t="s">
        <v>114</v>
      </c>
      <c r="B41" s="1"/>
      <c r="C41" s="7" t="str">
        <f>"(A.)"&amp;D40</f>
        <v>(A.)人為因素。</v>
      </c>
      <c r="D41" s="2"/>
      <c r="E41" s="2"/>
      <c r="F41" s="2"/>
      <c r="G41" s="2"/>
      <c r="H41" s="2"/>
      <c r="I41" s="2"/>
    </row>
    <row r="42" spans="1:9" s="3" customFormat="1" ht="15">
      <c r="A42" s="2"/>
      <c r="B42" s="1"/>
      <c r="C42" s="7" t="str">
        <f>"(B.)"&amp;E40</f>
        <v>(B.)運氣因素。</v>
      </c>
      <c r="D42" s="2"/>
      <c r="E42" s="2"/>
      <c r="F42" s="2"/>
      <c r="G42" s="2"/>
      <c r="H42" s="2"/>
      <c r="I42" s="2"/>
    </row>
    <row r="43" spans="1:9" s="3" customFormat="1" ht="15">
      <c r="A43" s="2"/>
      <c r="B43" s="2"/>
      <c r="C43" s="7" t="str">
        <f>"(C.)"&amp;F40</f>
        <v>(C.)社會因素。</v>
      </c>
      <c r="D43" s="2"/>
      <c r="E43" s="2"/>
      <c r="F43" s="2"/>
      <c r="G43" s="2"/>
      <c r="H43" s="2"/>
      <c r="I43" s="2"/>
    </row>
    <row r="44" spans="1:9" s="3" customFormat="1" ht="15">
      <c r="A44" s="2"/>
      <c r="B44" s="2"/>
      <c r="C44" s="7" t="str">
        <f>"(D.)"&amp;G40</f>
        <v>(D.)歷史因素。</v>
      </c>
      <c r="D44" s="2"/>
      <c r="E44" s="2"/>
      <c r="F44" s="2"/>
      <c r="G44" s="2"/>
      <c r="H44" s="2"/>
      <c r="I44" s="2"/>
    </row>
    <row r="45" spans="1:9" s="3" customFormat="1" ht="15">
      <c r="A45" s="2"/>
      <c r="B45" s="2"/>
      <c r="C45" s="7" t="str">
        <f>"答案是： "&amp;IF(H40="A.",C41,IF(H40="B.",C42,IF(H40="C.",C43,IF(H40=("D."),C44,"XXXX"))))</f>
        <v>答案是： (A.)人為因素。</v>
      </c>
      <c r="D45" s="2"/>
      <c r="E45" s="2"/>
      <c r="F45" s="2"/>
      <c r="G45" s="2"/>
      <c r="H45" s="2"/>
      <c r="I45" s="2"/>
    </row>
    <row r="46" spans="1:9" s="3" customFormat="1" ht="60">
      <c r="A46" s="2"/>
      <c r="B46" s="2"/>
      <c r="C46" s="7" t="str">
        <f>"說明："&amp;I40</f>
        <v>說明：無論無人機自動化程度多高，其航線規劃、緊急應變、操控決策與維護依然高度仰賴操作人，因此航空安全管理中「人為因素(Human Factors)」是預防失事最核心的一環。</v>
      </c>
      <c r="D46" s="2"/>
      <c r="E46" s="2"/>
      <c r="F46" s="2"/>
      <c r="G46" s="2"/>
      <c r="H46" s="2"/>
      <c r="I46" s="2"/>
    </row>
    <row r="47" spans="1:9" s="3" customFormat="1" ht="45">
      <c r="A47" s="4" t="str">
        <f>dB題庫!A8</f>
        <v>7</v>
      </c>
      <c r="B47" s="4" t="str">
        <f>dB題庫!B8</f>
        <v>完整之飛控系統包括下列哪個部分</v>
      </c>
      <c r="C47" s="4" t="str">
        <f>A47&amp;"."&amp;B47</f>
        <v>7.完整之飛控系統包括下列哪個部分</v>
      </c>
      <c r="D47" s="4" t="str">
        <f>dB題庫!C8</f>
        <v>感測器。</v>
      </c>
      <c r="E47" s="4" t="str">
        <f>dB題庫!D8</f>
        <v>機載計算機。</v>
      </c>
      <c r="F47" s="4" t="str">
        <f>dB題庫!E8</f>
        <v>伺服器。</v>
      </c>
      <c r="G47" s="4" t="str">
        <f>dB題庫!F8</f>
        <v>以上皆是。</v>
      </c>
      <c r="H47" s="4" t="str">
        <f>dB題庫!G8</f>
        <v>D.</v>
      </c>
      <c r="I47" s="4" t="str">
        <f>dB題庫!H8</f>
        <v>飛行控制系統(Flight Control System)由感測器(蒐集姿態數據)、機載計算機/飛控板(運算並輸出控制邏輯)及伺服器/舵機/電調執行機構(驅動結構面改變姿態)共同構成。</v>
      </c>
    </row>
    <row r="48" spans="1:9" s="3" customFormat="1" ht="15">
      <c r="A48" s="2" t="s">
        <v>114</v>
      </c>
      <c r="B48" s="1"/>
      <c r="C48" s="7" t="str">
        <f>"(A.)"&amp;D47</f>
        <v>(A.)感測器。</v>
      </c>
      <c r="D48" s="2"/>
      <c r="E48" s="2"/>
      <c r="F48" s="2"/>
      <c r="G48" s="2"/>
      <c r="H48" s="2"/>
      <c r="I48" s="2"/>
    </row>
    <row r="49" spans="1:9" s="3" customFormat="1" ht="15">
      <c r="A49" s="2"/>
      <c r="B49" s="1"/>
      <c r="C49" s="7" t="str">
        <f>"(B.)"&amp;E47</f>
        <v>(B.)機載計算機。</v>
      </c>
      <c r="D49" s="2"/>
      <c r="E49" s="2"/>
      <c r="F49" s="2"/>
      <c r="G49" s="2"/>
      <c r="H49" s="2"/>
      <c r="I49" s="2"/>
    </row>
    <row r="50" spans="1:9" s="3" customFormat="1" ht="15">
      <c r="A50" s="2"/>
      <c r="B50" s="2"/>
      <c r="C50" s="7" t="str">
        <f>"(C.)"&amp;F47</f>
        <v>(C.)伺服器。</v>
      </c>
      <c r="D50" s="2"/>
      <c r="E50" s="2"/>
      <c r="F50" s="2"/>
      <c r="G50" s="2"/>
      <c r="H50" s="2"/>
      <c r="I50" s="2"/>
    </row>
    <row r="51" spans="1:9" s="3" customFormat="1" ht="15">
      <c r="A51" s="2"/>
      <c r="B51" s="2"/>
      <c r="C51" s="7" t="str">
        <f>"(D.)"&amp;G47</f>
        <v>(D.)以上皆是。</v>
      </c>
      <c r="D51" s="2"/>
      <c r="E51" s="2"/>
      <c r="F51" s="2"/>
      <c r="G51" s="2"/>
      <c r="H51" s="2"/>
      <c r="I51" s="2"/>
    </row>
    <row r="52" spans="1:9" s="3" customFormat="1" ht="15">
      <c r="A52" s="2"/>
      <c r="B52" s="2"/>
      <c r="C52" s="7" t="str">
        <f>"答案是： "&amp;IF(H47="A.",C48,IF(H47="B.",C49,IF(H47="C.",C50,IF(H47=("D."),C51,"XXXX"))))</f>
        <v>答案是： (D.)以上皆是。</v>
      </c>
      <c r="D52" s="2"/>
      <c r="E52" s="2"/>
      <c r="F52" s="2"/>
      <c r="G52" s="2"/>
      <c r="H52" s="2"/>
      <c r="I52" s="2"/>
    </row>
    <row r="53" spans="1:9" s="3" customFormat="1" ht="60">
      <c r="A53" s="2"/>
      <c r="B53" s="2"/>
      <c r="C53" s="7" t="str">
        <f>"說明："&amp;I47</f>
        <v>說明：飛行控制系統(Flight Control System)由感測器(蒐集姿態數據)、機載計算機/飛控板(運算並輸出控制邏輯)及伺服器/舵機/電調執行機構(驅動結構面改變姿態)共同構成。</v>
      </c>
      <c r="D53" s="2"/>
      <c r="E53" s="2"/>
      <c r="F53" s="2"/>
      <c r="G53" s="2"/>
      <c r="H53" s="2"/>
      <c r="I53" s="2"/>
    </row>
    <row r="54" spans="1:9" s="3" customFormat="1" ht="30">
      <c r="A54" s="4" t="str">
        <f>dB題庫!A9</f>
        <v>8</v>
      </c>
      <c r="B54" s="4" t="str">
        <f>dB題庫!B9</f>
        <v>完整之飛控系統可實現遙控無人機下列哪項功能</v>
      </c>
      <c r="C54" s="4" t="str">
        <f>A54&amp;"."&amp;B54</f>
        <v>8.完整之飛控系統可實現遙控無人機下列哪項功能</v>
      </c>
      <c r="D54" s="4" t="str">
        <f>dB題庫!C9</f>
        <v>姿態穩定和控制。</v>
      </c>
      <c r="E54" s="4" t="str">
        <f>dB題庫!D9</f>
        <v>任務管理。</v>
      </c>
      <c r="F54" s="4" t="str">
        <f>dB題庫!E9</f>
        <v>緊急控制模式。</v>
      </c>
      <c r="G54" s="4" t="str">
        <f>dB題庫!F9</f>
        <v>以上皆是。</v>
      </c>
      <c r="H54" s="4" t="str">
        <f>dB題庫!G9</f>
        <v>D.</v>
      </c>
      <c r="I54" s="4" t="str">
        <f>dB題庫!H9</f>
        <v>現代飛控系統不僅能進行底層的姿態穩定控制，還具備高層的自主航線等任務管理，以及在斷訊或低電量時觸發失控返航、自動降落等緊急控制模式。</v>
      </c>
    </row>
    <row r="55" spans="1:9" s="3" customFormat="1" ht="15">
      <c r="A55" s="2" t="s">
        <v>114</v>
      </c>
      <c r="B55" s="1"/>
      <c r="C55" s="7" t="str">
        <f>"(A.)"&amp;D54</f>
        <v>(A.)姿態穩定和控制。</v>
      </c>
      <c r="D55" s="2"/>
      <c r="E55" s="2"/>
      <c r="F55" s="2"/>
      <c r="G55" s="2"/>
      <c r="H55" s="2"/>
      <c r="I55" s="2"/>
    </row>
    <row r="56" spans="1:9" s="3" customFormat="1" ht="15">
      <c r="A56" s="2"/>
      <c r="B56" s="1"/>
      <c r="C56" s="7" t="str">
        <f>"(B.)"&amp;E54</f>
        <v>(B.)任務管理。</v>
      </c>
      <c r="D56" s="2"/>
      <c r="E56" s="2"/>
      <c r="F56" s="2"/>
      <c r="G56" s="2"/>
      <c r="H56" s="2"/>
      <c r="I56" s="2"/>
    </row>
    <row r="57" spans="1:9" s="3" customFormat="1" ht="15">
      <c r="A57" s="2"/>
      <c r="B57" s="2"/>
      <c r="C57" s="7" t="str">
        <f>"(C.)"&amp;F54</f>
        <v>(C.)緊急控制模式。</v>
      </c>
      <c r="D57" s="2"/>
      <c r="E57" s="2"/>
      <c r="F57" s="2"/>
      <c r="G57" s="2"/>
      <c r="H57" s="2"/>
      <c r="I57" s="2"/>
    </row>
    <row r="58" spans="1:9" s="3" customFormat="1" ht="15">
      <c r="A58" s="2"/>
      <c r="B58" s="2"/>
      <c r="C58" s="7" t="str">
        <f>"(D.)"&amp;G54</f>
        <v>(D.)以上皆是。</v>
      </c>
      <c r="D58" s="2"/>
      <c r="E58" s="2"/>
      <c r="F58" s="2"/>
      <c r="G58" s="2"/>
      <c r="H58" s="2"/>
      <c r="I58" s="2"/>
    </row>
    <row r="59" spans="1:9" s="3" customFormat="1" ht="15">
      <c r="A59" s="2"/>
      <c r="B59" s="2"/>
      <c r="C59" s="7" t="str">
        <f>"答案是： "&amp;IF(H54="A.",C55,IF(H54="B.",C56,IF(H54="C.",C57,IF(H54=("D."),C58,"XXXX"))))</f>
        <v>答案是： (D.)以上皆是。</v>
      </c>
      <c r="D59" s="2"/>
      <c r="E59" s="2"/>
      <c r="F59" s="2"/>
      <c r="G59" s="2"/>
      <c r="H59" s="2"/>
      <c r="I59" s="2"/>
    </row>
    <row r="60" spans="1:9" s="3" customFormat="1" ht="60">
      <c r="A60" s="2"/>
      <c r="B60" s="2"/>
      <c r="C60" s="7" t="str">
        <f>"說明："&amp;I54</f>
        <v>說明：現代飛控系統不僅能進行底層的姿態穩定控制，還具備高層的自主航線等任務管理，以及在斷訊或低電量時觸發失控返航、自動降落等緊急控制模式。</v>
      </c>
      <c r="D60" s="2"/>
      <c r="E60" s="2"/>
      <c r="F60" s="2"/>
      <c r="G60" s="2"/>
      <c r="H60" s="2"/>
      <c r="I60" s="2"/>
    </row>
    <row r="61" spans="1:9" s="3" customFormat="1" ht="30">
      <c r="A61" s="4" t="str">
        <f>dB題庫!A10</f>
        <v>9</v>
      </c>
      <c r="B61" s="4" t="str">
        <f>dB題庫!B10</f>
        <v>下列哪個是飛行控制系統的輸入裝置,用以保持控制精度</v>
      </c>
      <c r="C61" s="4" t="str">
        <f>A61&amp;"."&amp;B61</f>
        <v>9.下列哪個是飛行控制系統的輸入裝置,用以保持控制精度</v>
      </c>
      <c r="D61" s="4" t="str">
        <f>dB題庫!C10</f>
        <v>機載計算機。</v>
      </c>
      <c r="E61" s="4" t="str">
        <f>dB題庫!D10</f>
        <v>感測器。</v>
      </c>
      <c r="F61" s="4" t="str">
        <f>dB題庫!E10</f>
        <v>伺服器。</v>
      </c>
      <c r="G61" s="4" t="str">
        <f>dB題庫!F10</f>
        <v>以上皆是。</v>
      </c>
      <c r="H61" s="4" t="str">
        <f>dB題庫!G10</f>
        <v>B.</v>
      </c>
      <c r="I61" s="4" t="str">
        <f>dB題庫!H10</f>
        <v>感測器(如 I M U、陀螺儀、加速度計、氣壓計等)扮演飛控系統的「眼睛與耳朵」，提供即時狀態輸入給計算機，是維持控制精度的資訊源。</v>
      </c>
    </row>
    <row r="62" spans="1:9" s="3" customFormat="1" ht="15">
      <c r="A62" s="2" t="s">
        <v>114</v>
      </c>
      <c r="B62" s="1"/>
      <c r="C62" s="7" t="str">
        <f>"(A.)"&amp;D61</f>
        <v>(A.)機載計算機。</v>
      </c>
      <c r="D62" s="2"/>
      <c r="E62" s="2"/>
      <c r="F62" s="2"/>
      <c r="G62" s="2"/>
      <c r="H62" s="2"/>
      <c r="I62" s="2"/>
    </row>
    <row r="63" spans="1:9" s="3" customFormat="1" ht="15">
      <c r="A63" s="2"/>
      <c r="B63" s="1"/>
      <c r="C63" s="7" t="str">
        <f>"(B.)"&amp;E61</f>
        <v>(B.)感測器。</v>
      </c>
      <c r="D63" s="2"/>
      <c r="E63" s="2"/>
      <c r="F63" s="2"/>
      <c r="G63" s="2"/>
      <c r="H63" s="2"/>
      <c r="I63" s="2"/>
    </row>
    <row r="64" spans="1:9" s="3" customFormat="1" ht="15">
      <c r="A64" s="2"/>
      <c r="B64" s="2"/>
      <c r="C64" s="7" t="str">
        <f>"(C.)"&amp;F61</f>
        <v>(C.)伺服器。</v>
      </c>
      <c r="D64" s="2"/>
      <c r="E64" s="2"/>
      <c r="F64" s="2"/>
      <c r="G64" s="2"/>
      <c r="H64" s="2"/>
      <c r="I64" s="2"/>
    </row>
    <row r="65" spans="1:9" s="3" customFormat="1" ht="15">
      <c r="A65" s="2"/>
      <c r="B65" s="2"/>
      <c r="C65" s="7" t="str">
        <f>"(D.)"&amp;G61</f>
        <v>(D.)以上皆是。</v>
      </c>
      <c r="D65" s="2"/>
      <c r="E65" s="2"/>
      <c r="F65" s="2"/>
      <c r="G65" s="2"/>
      <c r="H65" s="2"/>
      <c r="I65" s="2"/>
    </row>
    <row r="66" spans="1:9" s="3" customFormat="1" ht="15">
      <c r="A66" s="2"/>
      <c r="B66" s="2"/>
      <c r="C66" s="7" t="str">
        <f>"答案是： "&amp;IF(H61="A.",C62,IF(H61="B.",C63,IF(H61="C.",C64,IF(H61=("D."),C65,"XXXX"))))</f>
        <v>答案是： (B.)感測器。</v>
      </c>
      <c r="D66" s="2"/>
      <c r="E66" s="2"/>
      <c r="F66" s="2"/>
      <c r="G66" s="2"/>
      <c r="H66" s="2"/>
      <c r="I66" s="2"/>
    </row>
    <row r="67" spans="1:9" s="3" customFormat="1" ht="60">
      <c r="A67" s="2"/>
      <c r="B67" s="2"/>
      <c r="C67" s="7" t="str">
        <f>"說明："&amp;I61</f>
        <v>說明：感測器(如 I M U、陀螺儀、加速度計、氣壓計等)扮演飛控系統的「眼睛與耳朵」，提供即時狀態輸入給計算機，是維持控制精度的資訊源。</v>
      </c>
      <c r="D67" s="2"/>
      <c r="E67" s="2"/>
      <c r="F67" s="2"/>
      <c r="G67" s="2"/>
      <c r="H67" s="2"/>
      <c r="I67" s="2"/>
    </row>
    <row r="68" spans="1:9" s="3" customFormat="1" ht="30">
      <c r="A68" s="4" t="str">
        <f>dB題庫!A11</f>
        <v>10</v>
      </c>
      <c r="B68" s="4" t="str">
        <f>dB題庫!B11</f>
        <v>導航系統提供遙控無人機哪項資訊</v>
      </c>
      <c r="C68" s="4" t="str">
        <f>A68&amp;"."&amp;B68</f>
        <v>10.導航系統提供遙控無人機哪項資訊</v>
      </c>
      <c r="D68" s="4" t="str">
        <f>dB題庫!C11</f>
        <v>位置。</v>
      </c>
      <c r="E68" s="4" t="str">
        <f>dB題庫!D11</f>
        <v>速度。</v>
      </c>
      <c r="F68" s="4" t="str">
        <f>dB題庫!E11</f>
        <v>飛行姿態。</v>
      </c>
      <c r="G68" s="4" t="str">
        <f>dB題庫!F11</f>
        <v>以上皆是。</v>
      </c>
      <c r="H68" s="4" t="str">
        <f>dB題庫!G11</f>
        <v>D.</v>
      </c>
      <c r="I68" s="4" t="str">
        <f>dB題庫!H11</f>
        <v>導航系統的基本任務是解決「我在哪裡(位置)、往哪去、有多快(速度)以及當前經緯度與三維空間方位(姿態)」等核心飛航三維狀態資訊。</v>
      </c>
    </row>
    <row r="69" spans="1:9" s="3" customFormat="1" ht="15">
      <c r="A69" s="2" t="s">
        <v>114</v>
      </c>
      <c r="B69" s="1"/>
      <c r="C69" s="7" t="str">
        <f>"(A.)"&amp;D68</f>
        <v>(A.)位置。</v>
      </c>
      <c r="D69" s="2"/>
      <c r="E69" s="2"/>
      <c r="F69" s="2"/>
      <c r="G69" s="2"/>
      <c r="H69" s="2"/>
      <c r="I69" s="2"/>
    </row>
    <row r="70" spans="1:9" s="3" customFormat="1" ht="15">
      <c r="A70" s="2"/>
      <c r="B70" s="1"/>
      <c r="C70" s="7" t="str">
        <f>"(B.)"&amp;E68</f>
        <v>(B.)速度。</v>
      </c>
      <c r="D70" s="2"/>
      <c r="E70" s="2"/>
      <c r="F70" s="2"/>
      <c r="G70" s="2"/>
      <c r="H70" s="2"/>
      <c r="I70" s="2"/>
    </row>
    <row r="71" spans="1:9" s="3" customFormat="1" ht="15">
      <c r="A71" s="2"/>
      <c r="B71" s="2"/>
      <c r="C71" s="7" t="str">
        <f>"(C.)"&amp;F68</f>
        <v>(C.)飛行姿態。</v>
      </c>
      <c r="D71" s="2"/>
      <c r="E71" s="2"/>
      <c r="F71" s="2"/>
      <c r="G71" s="2"/>
      <c r="H71" s="2"/>
      <c r="I71" s="2"/>
    </row>
    <row r="72" spans="1:9" s="3" customFormat="1" ht="15">
      <c r="A72" s="2"/>
      <c r="B72" s="2"/>
      <c r="C72" s="7" t="str">
        <f>"(D.)"&amp;G68</f>
        <v>(D.)以上皆是。</v>
      </c>
      <c r="D72" s="2"/>
      <c r="E72" s="2"/>
      <c r="F72" s="2"/>
      <c r="G72" s="2"/>
      <c r="H72" s="2"/>
      <c r="I72" s="2"/>
    </row>
    <row r="73" spans="1:9" s="3" customFormat="1" ht="15">
      <c r="A73" s="2"/>
      <c r="B73" s="2"/>
      <c r="C73" s="7" t="str">
        <f>"答案是： "&amp;IF(H68="A.",C69,IF(H68="B.",C70,IF(H68="C.",C71,IF(H68=("D."),C72,"XXXX"))))</f>
        <v>答案是： (D.)以上皆是。</v>
      </c>
      <c r="D73" s="2"/>
      <c r="E73" s="2"/>
      <c r="F73" s="2"/>
      <c r="G73" s="2"/>
      <c r="H73" s="2"/>
      <c r="I73" s="2"/>
    </row>
    <row r="74" spans="1:9" s="3" customFormat="1" ht="60">
      <c r="A74" s="2"/>
      <c r="B74" s="2"/>
      <c r="C74" s="7" t="str">
        <f>"說明："&amp;I68</f>
        <v>說明：導航系統的基本任務是解決「我在哪裡(位置)、往哪去、有多快(速度)以及當前經緯度與三維空間方位(姿態)」等核心飛航三維狀態資訊。</v>
      </c>
      <c r="D74" s="2"/>
      <c r="E74" s="2"/>
      <c r="F74" s="2"/>
      <c r="G74" s="2"/>
      <c r="H74" s="2"/>
      <c r="I74" s="2"/>
    </row>
    <row r="75" spans="1:9" s="3" customFormat="1" ht="15">
      <c r="A75" s="4" t="str">
        <f>dB題庫!A18</f>
        <v>17</v>
      </c>
      <c r="B75" s="4" t="str">
        <f>dB題庫!B18</f>
        <v>遙控無人機的能量來源可以包括下列哪項</v>
      </c>
      <c r="C75" s="4" t="str">
        <f>A75&amp;"."&amp;B75</f>
        <v>17.遙控無人機的能量來源可以包括下列哪項</v>
      </c>
      <c r="D75" s="4" t="str">
        <f>dB題庫!C18</f>
        <v>太陽能。</v>
      </c>
      <c r="E75" s="4" t="str">
        <f>dB題庫!D18</f>
        <v>氫能。</v>
      </c>
      <c r="F75" s="4" t="str">
        <f>dB題庫!E18</f>
        <v>鋰電池。</v>
      </c>
      <c r="G75" s="4" t="str">
        <f>dB題庫!F18</f>
        <v>以上皆是。</v>
      </c>
      <c r="H75" s="4" t="str">
        <f>dB題庫!G18</f>
        <v>D.</v>
      </c>
      <c r="I75" s="4" t="str">
        <f>dB題庫!H18</f>
        <v>遙控無人機的能量來源主要包含鋰電池、太陽能與氫能。</v>
      </c>
    </row>
    <row r="76" spans="1:9" s="3" customFormat="1" ht="15">
      <c r="A76" s="2" t="s">
        <v>114</v>
      </c>
      <c r="B76" s="1"/>
      <c r="C76" s="7" t="str">
        <f>"(A.)"&amp;D75</f>
        <v>(A.)太陽能。</v>
      </c>
      <c r="D76" s="2"/>
      <c r="E76" s="2"/>
      <c r="F76" s="2"/>
      <c r="G76" s="2"/>
      <c r="H76" s="2"/>
      <c r="I76" s="2"/>
    </row>
    <row r="77" spans="1:9" s="3" customFormat="1" ht="15">
      <c r="A77" s="2"/>
      <c r="B77" s="1"/>
      <c r="C77" s="7" t="str">
        <f>"(B.)"&amp;E75</f>
        <v>(B.)氫能。</v>
      </c>
      <c r="D77" s="2"/>
      <c r="E77" s="2"/>
      <c r="F77" s="2"/>
      <c r="G77" s="2"/>
      <c r="H77" s="2"/>
      <c r="I77" s="2"/>
    </row>
    <row r="78" spans="1:9" s="3" customFormat="1" ht="15">
      <c r="A78" s="2"/>
      <c r="B78" s="2"/>
      <c r="C78" s="7" t="str">
        <f>"(C.)"&amp;F75</f>
        <v>(C.)鋰電池。</v>
      </c>
      <c r="D78" s="2"/>
      <c r="E78" s="2"/>
      <c r="F78" s="2"/>
      <c r="G78" s="2"/>
      <c r="H78" s="2"/>
      <c r="I78" s="2"/>
    </row>
    <row r="79" spans="1:9" s="3" customFormat="1" ht="15">
      <c r="A79" s="2"/>
      <c r="B79" s="2"/>
      <c r="C79" s="7" t="str">
        <f>"(D.)"&amp;G75</f>
        <v>(D.)以上皆是。</v>
      </c>
      <c r="D79" s="2"/>
      <c r="E79" s="2"/>
      <c r="F79" s="2"/>
      <c r="G79" s="2"/>
      <c r="H79" s="2"/>
      <c r="I79" s="2"/>
    </row>
    <row r="80" spans="1:9" s="3" customFormat="1" ht="15">
      <c r="A80" s="2"/>
      <c r="B80" s="2"/>
      <c r="C80" s="7" t="str">
        <f>"答案是： "&amp;IF(H75="A.",C76,IF(H75="B.",C77,IF(H75="C.",C78,IF(H75=("D."),C79,"XXXX"))))</f>
        <v>答案是： (D.)以上皆是。</v>
      </c>
      <c r="D80" s="2"/>
      <c r="E80" s="2"/>
      <c r="F80" s="2"/>
      <c r="G80" s="2"/>
      <c r="H80" s="2"/>
      <c r="I80" s="2"/>
    </row>
    <row r="81" spans="1:9" s="3" customFormat="1" ht="30">
      <c r="A81" s="2"/>
      <c r="B81" s="2"/>
      <c r="C81" s="7" t="str">
        <f>"說明："&amp;I75</f>
        <v>說明：遙控無人機的能量來源主要包含鋰電池、太陽能與氫能。</v>
      </c>
      <c r="D81" s="2"/>
      <c r="E81" s="2"/>
      <c r="F81" s="2"/>
      <c r="G81" s="2"/>
      <c r="H81" s="2"/>
      <c r="I81" s="2"/>
    </row>
    <row r="82" spans="1:9" s="3" customFormat="1" ht="45">
      <c r="A82" s="4" t="str">
        <f>dB題庫!A19</f>
        <v>18</v>
      </c>
      <c r="B82" s="4" t="str">
        <f>dB題庫!B19</f>
        <v>負責對遙控無人機之命令與控制、資料鏈路等工作的,是下列哪個系統</v>
      </c>
      <c r="C82" s="4" t="str">
        <f>A82&amp;"."&amp;B82</f>
        <v>18.負責對遙控無人機之命令與控制、資料鏈路等工作的,是下列哪個系統</v>
      </c>
      <c r="D82" s="4" t="str">
        <f>dB題庫!C19</f>
        <v>動力系統。</v>
      </c>
      <c r="E82" s="4" t="str">
        <f>dB題庫!D19</f>
        <v>無線通訊系統。</v>
      </c>
      <c r="F82" s="4" t="str">
        <f>dB題庫!E19</f>
        <v>導航系統。</v>
      </c>
      <c r="G82" s="4" t="str">
        <f>dB題庫!F19</f>
        <v>飛行控制系統。</v>
      </c>
      <c r="H82" s="4" t="str">
        <f>dB題庫!G19</f>
        <v>B.</v>
      </c>
      <c r="I82" s="4" t="str">
        <f>dB題庫!H19</f>
        <v>負責對遙控無人機進行命令與控制（Command and Control, C2）以及資料鏈路等工作的系統是無線通訊系統。它主要負責將地面端的控制訊號傳送給無人機，並將機上的狀態或圖傳資料回傳。</v>
      </c>
    </row>
    <row r="83" spans="1:9" s="3" customFormat="1" ht="15">
      <c r="A83" s="2" t="s">
        <v>114</v>
      </c>
      <c r="B83" s="1"/>
      <c r="C83" s="7" t="str">
        <f>"(A.)"&amp;D82</f>
        <v>(A.)動力系統。</v>
      </c>
      <c r="D83" s="2"/>
      <c r="E83" s="2"/>
      <c r="F83" s="2"/>
      <c r="G83" s="2"/>
      <c r="H83" s="2"/>
      <c r="I83" s="2"/>
    </row>
    <row r="84" spans="1:9" s="3" customFormat="1" ht="15">
      <c r="A84" s="2"/>
      <c r="B84" s="1"/>
      <c r="C84" s="7" t="str">
        <f>"(B.)"&amp;E82</f>
        <v>(B.)無線通訊系統。</v>
      </c>
      <c r="D84" s="2"/>
      <c r="E84" s="2"/>
      <c r="F84" s="2"/>
      <c r="G84" s="2"/>
      <c r="H84" s="2"/>
      <c r="I84" s="2"/>
    </row>
    <row r="85" spans="1:9" s="3" customFormat="1" ht="15">
      <c r="A85" s="2"/>
      <c r="B85" s="2"/>
      <c r="C85" s="7" t="str">
        <f>"(C.)"&amp;F82</f>
        <v>(C.)導航系統。</v>
      </c>
      <c r="D85" s="2"/>
      <c r="E85" s="2"/>
      <c r="F85" s="2"/>
      <c r="G85" s="2"/>
      <c r="H85" s="2"/>
      <c r="I85" s="2"/>
    </row>
    <row r="86" spans="1:9" s="3" customFormat="1" ht="15">
      <c r="A86" s="2"/>
      <c r="B86" s="2"/>
      <c r="C86" s="7" t="str">
        <f>"(D.)"&amp;G82</f>
        <v>(D.)飛行控制系統。</v>
      </c>
      <c r="D86" s="2"/>
      <c r="E86" s="2"/>
      <c r="F86" s="2"/>
      <c r="G86" s="2"/>
      <c r="H86" s="2"/>
      <c r="I86" s="2"/>
    </row>
    <row r="87" spans="1:9" s="3" customFormat="1" ht="15">
      <c r="A87" s="2"/>
      <c r="B87" s="2"/>
      <c r="C87" s="7" t="str">
        <f>"答案是： "&amp;IF(H82="A.",C83,IF(H82="B.",C84,IF(H82="C.",C85,IF(H82=("D."),C86,"XXXX"))))</f>
        <v>答案是： (B.)無線通訊系統。</v>
      </c>
      <c r="D87" s="2"/>
      <c r="E87" s="2"/>
      <c r="F87" s="2"/>
      <c r="G87" s="2"/>
      <c r="H87" s="2"/>
      <c r="I87" s="2"/>
    </row>
    <row r="88" spans="1:9" s="3" customFormat="1" ht="75">
      <c r="A88" s="2"/>
      <c r="B88" s="2"/>
      <c r="C88" s="7" t="str">
        <f>"說明："&amp;I82</f>
        <v>說明：負責對遙控無人機進行命令與控制（Command and Control, C2）以及資料鏈路等工作的系統是無線通訊系統。它主要負責將地面端的控制訊號傳送給無人機，並將機上的狀態或圖傳資料回傳。</v>
      </c>
      <c r="D88" s="2"/>
      <c r="E88" s="2"/>
      <c r="F88" s="2"/>
      <c r="G88" s="2"/>
      <c r="H88" s="2"/>
      <c r="I88" s="2"/>
    </row>
    <row r="89" spans="1:9" s="3" customFormat="1" ht="75">
      <c r="A89" s="4" t="str">
        <f>dB題庫!A20</f>
        <v>19</v>
      </c>
      <c r="B89" s="4" t="str">
        <f>dB題庫!B20</f>
        <v>遙控無人機控制鏈路為保密與抗干擾基本上已全面採行下列哪種方式</v>
      </c>
      <c r="C89" s="4" t="str">
        <f>A89&amp;"."&amp;B89</f>
        <v>19.遙控無人機控制鏈路為保密與抗干擾基本上已全面採行下列哪種方式</v>
      </c>
      <c r="D89" s="4" t="str">
        <f>dB題庫!C20</f>
        <v>類比化。</v>
      </c>
      <c r="E89" s="4" t="str">
        <f>dB題庫!D20</f>
        <v>模組化。</v>
      </c>
      <c r="F89" s="4" t="str">
        <f>dB題庫!E20</f>
        <v>數位化。</v>
      </c>
      <c r="G89" s="4" t="str">
        <f>dB題庫!F20</f>
        <v>離散化。</v>
      </c>
      <c r="H89" s="4" t="str">
        <f>dB題庫!G20</f>
        <v>C.</v>
      </c>
      <c r="I89" s="4" t="str">
        <f>dB題庫!H20</f>
        <v>為確保保密性與抗干擾能力，遙控無人機（UAV）的控制鏈路基本上已全面採行(C) 數位化。數位化傳輸技術允許系統導入跳頻（FHSS）、直接序列展頻（DSSS）及加密演算法，不僅大幅降低被攔截與破解的風險，也能有效抵抗外界電磁波干擾，保障飛行安全與訊號穩定。詳細學科題庫與測驗規範可參考交通部民用航空局相關指引。</v>
      </c>
    </row>
    <row r="90" spans="1:9" s="3" customFormat="1" ht="15">
      <c r="A90" s="2" t="s">
        <v>114</v>
      </c>
      <c r="B90" s="1"/>
      <c r="C90" s="7" t="str">
        <f>"(A.)"&amp;D89</f>
        <v>(A.)類比化。</v>
      </c>
      <c r="D90" s="2"/>
      <c r="E90" s="2"/>
      <c r="F90" s="2"/>
      <c r="G90" s="2"/>
      <c r="H90" s="2"/>
      <c r="I90" s="2"/>
    </row>
    <row r="91" spans="1:9" s="3" customFormat="1" ht="15">
      <c r="A91" s="2"/>
      <c r="B91" s="1"/>
      <c r="C91" s="7" t="str">
        <f>"(B.)"&amp;E89</f>
        <v>(B.)模組化。</v>
      </c>
      <c r="D91" s="2"/>
      <c r="E91" s="2"/>
      <c r="F91" s="2"/>
      <c r="G91" s="2"/>
      <c r="H91" s="2"/>
      <c r="I91" s="2"/>
    </row>
    <row r="92" spans="1:9" s="3" customFormat="1" ht="15">
      <c r="A92" s="2"/>
      <c r="B92" s="2"/>
      <c r="C92" s="7" t="str">
        <f>"(C.)"&amp;F89</f>
        <v>(C.)數位化。</v>
      </c>
      <c r="D92" s="2"/>
      <c r="E92" s="2"/>
      <c r="F92" s="2"/>
      <c r="G92" s="2"/>
      <c r="H92" s="2"/>
      <c r="I92" s="2"/>
    </row>
    <row r="93" spans="1:9" s="3" customFormat="1" ht="15">
      <c r="A93" s="2"/>
      <c r="B93" s="2"/>
      <c r="C93" s="7" t="str">
        <f>"(D.)"&amp;G89</f>
        <v>(D.)離散化。</v>
      </c>
      <c r="D93" s="2"/>
      <c r="E93" s="2"/>
      <c r="F93" s="2"/>
      <c r="G93" s="2"/>
      <c r="H93" s="2"/>
      <c r="I93" s="2"/>
    </row>
    <row r="94" spans="1:9" s="3" customFormat="1" ht="15">
      <c r="A94" s="2"/>
      <c r="B94" s="2"/>
      <c r="C94" s="7" t="str">
        <f>"答案是： "&amp;IF(H89="A.",C90,IF(H89="B.",C91,IF(H89="C.",C92,IF(H89=("D."),C93,"XXXX"))))</f>
        <v>答案是： (C.)數位化。</v>
      </c>
      <c r="D94" s="2"/>
      <c r="E94" s="2"/>
      <c r="F94" s="2"/>
      <c r="G94" s="2"/>
      <c r="H94" s="2"/>
      <c r="I94" s="2"/>
    </row>
    <row r="95" spans="1:9" s="3" customFormat="1" ht="120">
      <c r="A95" s="2"/>
      <c r="B95" s="2"/>
      <c r="C95" s="7" t="str">
        <f>"說明："&amp;I89</f>
        <v>說明：為確保保密性與抗干擾能力，遙控無人機（UAV）的控制鏈路基本上已全面採行(C) 數位化。數位化傳輸技術允許系統導入跳頻（FHSS）、直接序列展頻（DSSS）及加密演算法，不僅大幅降低被攔截與破解的風險，也能有效抵抗外界電磁波干擾，保障飛行安全與訊號穩定。詳細學科題庫與測驗規範可參考交通部民用航空局相關指引。</v>
      </c>
      <c r="D95" s="2"/>
      <c r="E95" s="2"/>
      <c r="F95" s="2"/>
      <c r="G95" s="2"/>
      <c r="H95" s="2"/>
      <c r="I95" s="2"/>
    </row>
    <row r="96" spans="1:9" s="3" customFormat="1" ht="60">
      <c r="A96" s="4" t="str">
        <f>dB題庫!A21</f>
        <v>20</v>
      </c>
      <c r="B96" s="4" t="str">
        <f>dB題庫!B21</f>
        <v>遙控無人機的圖傳主要資料傳輸形態有下列哪幾種方式</v>
      </c>
      <c r="C96" s="4" t="str">
        <f>A96&amp;"."&amp;B96</f>
        <v>20.遙控無人機的圖傳主要資料傳輸形態有下列哪幾種方式</v>
      </c>
      <c r="D96" s="4" t="str">
        <f>dB題庫!C21</f>
        <v>高速、寬頻。</v>
      </c>
      <c r="E96" s="4" t="str">
        <f>dB題庫!D21</f>
        <v>類比、數位。</v>
      </c>
      <c r="F96" s="4" t="str">
        <f>dB題庫!E21</f>
        <v>單工、衛星。</v>
      </c>
      <c r="G96" s="4" t="str">
        <f>dB題庫!F21</f>
        <v>雙工、衛星。</v>
      </c>
      <c r="H96" s="4" t="str">
        <f>dB題庫!G21</f>
        <v>B.</v>
      </c>
      <c r="I96" s="4" t="str">
        <f>dB題庫!H21</f>
        <v>遙控無人機的圖傳（影像傳輸）主要資料傳輸形態分為類比與數位兩種方式。類比圖傳：傳輸延遲極低、畫面連續無延遲卡頓，但易受雜訊干擾且畫面品質通常較差。數位圖傳：訊號抗干擾能力強、影像畫質清晰，且能同時傳輸豐富的飛行數據，是目前消費與專業無人機的主流。</v>
      </c>
    </row>
    <row r="97" spans="1:9" s="3" customFormat="1" ht="15">
      <c r="A97" s="2" t="s">
        <v>114</v>
      </c>
      <c r="B97" s="1"/>
      <c r="C97" s="7" t="str">
        <f>"(A.)"&amp;D96</f>
        <v>(A.)高速、寬頻。</v>
      </c>
      <c r="D97" s="2"/>
      <c r="E97" s="2"/>
      <c r="F97" s="2"/>
      <c r="G97" s="2"/>
      <c r="H97" s="2"/>
      <c r="I97" s="2"/>
    </row>
    <row r="98" spans="1:9" s="3" customFormat="1" ht="15">
      <c r="A98" s="2"/>
      <c r="B98" s="1"/>
      <c r="C98" s="7" t="str">
        <f>"(B.)"&amp;E96</f>
        <v>(B.)類比、數位。</v>
      </c>
      <c r="D98" s="2"/>
      <c r="E98" s="2"/>
      <c r="F98" s="2"/>
      <c r="G98" s="2"/>
      <c r="H98" s="2"/>
      <c r="I98" s="2"/>
    </row>
    <row r="99" spans="1:9" s="3" customFormat="1" ht="15">
      <c r="A99" s="2"/>
      <c r="B99" s="2"/>
      <c r="C99" s="7" t="str">
        <f>"(C.)"&amp;F96</f>
        <v>(C.)單工、衛星。</v>
      </c>
      <c r="D99" s="2"/>
      <c r="E99" s="2"/>
      <c r="F99" s="2"/>
      <c r="G99" s="2"/>
      <c r="H99" s="2"/>
      <c r="I99" s="2"/>
    </row>
    <row r="100" spans="1:9" s="3" customFormat="1" ht="15">
      <c r="A100" s="2"/>
      <c r="B100" s="2"/>
      <c r="C100" s="7" t="str">
        <f>"(D.)"&amp;G96</f>
        <v>(D.)雙工、衛星。</v>
      </c>
      <c r="D100" s="2"/>
      <c r="E100" s="2"/>
      <c r="F100" s="2"/>
      <c r="G100" s="2"/>
      <c r="H100" s="2"/>
      <c r="I100" s="2"/>
    </row>
    <row r="101" spans="1:9" s="3" customFormat="1" ht="15">
      <c r="A101" s="2"/>
      <c r="B101" s="2"/>
      <c r="C101" s="7" t="str">
        <f>"答案是： "&amp;IF(H96="A.",C97,IF(H96="B.",C98,IF(H96="C.",C99,IF(H96=("D."),C100,"XXXX"))))</f>
        <v>答案是： (B.)類比、數位。</v>
      </c>
      <c r="D101" s="2"/>
      <c r="E101" s="2"/>
      <c r="F101" s="2"/>
      <c r="G101" s="2"/>
      <c r="H101" s="2"/>
      <c r="I101" s="2"/>
    </row>
    <row r="102" spans="1:9" s="3" customFormat="1" ht="90">
      <c r="A102" s="2"/>
      <c r="B102" s="2"/>
      <c r="C102" s="7" t="str">
        <f>"說明："&amp;I96</f>
        <v>說明：遙控無人機的圖傳（影像傳輸）主要資料傳輸形態分為類比與數位兩種方式。類比圖傳：傳輸延遲極低、畫面連續無延遲卡頓，但易受雜訊干擾且畫面品質通常較差。數位圖傳：訊號抗干擾能力強、影像畫質清晰，且能同時傳輸豐富的飛行數據，是目前消費與專業無人機的主流。</v>
      </c>
      <c r="D102" s="2"/>
      <c r="E102" s="2"/>
      <c r="F102" s="2"/>
      <c r="G102" s="2"/>
      <c r="H102" s="2"/>
      <c r="I102" s="2"/>
    </row>
    <row r="103" spans="1:9" s="3" customFormat="1" ht="90">
      <c r="A103" s="4" t="str">
        <f>dB題庫!A22</f>
        <v>21</v>
      </c>
      <c r="B103" s="4" t="str">
        <f>dB題庫!B22</f>
        <v>遙控無人機的通訊技術朝向下列哪個方向發展</v>
      </c>
      <c r="C103" s="4" t="str">
        <f>A103&amp;"."&amp;B103</f>
        <v>21.遙控無人機的通訊技術朝向下列哪個方向發展</v>
      </c>
      <c r="D103" s="4" t="str">
        <f>dB題庫!C22</f>
        <v>高速、寬頻。</v>
      </c>
      <c r="E103" s="4" t="str">
        <f>dB題庫!D22</f>
        <v>保密。</v>
      </c>
      <c r="F103" s="4" t="str">
        <f>dB題庫!E22</f>
        <v>抗干擾。</v>
      </c>
      <c r="G103" s="4" t="str">
        <f>dB題庫!F22</f>
        <v>以上皆是。</v>
      </c>
      <c r="H103" s="4" t="str">
        <f>dB題庫!G22</f>
        <v>D.</v>
      </c>
      <c r="I103" s="4" t="str">
        <f>dB題庫!H22</f>
        <v>遙控無人機的通訊技術主要朝向 高速、寬頻、保密與抗干擾 方向發展，以滿足即時影像傳輸、遠距操控及複雜任務的需求。
依據交通部民用航空局的無人機學科測驗題庫規範，相關發展方向包含以下重點：高速與寬頻：支援高解析度即時影像（如 4K/8K 視訊）及龐大數據的傳輸。保密性：確保飛行指令與資料不被攔截或篡改，提升飛行任務安全性。抗干擾能力：在電磁環境複雜或遭受惡意干擾時，仍能維持穩定的連線與控制。</v>
      </c>
    </row>
    <row r="104" spans="1:9" s="3" customFormat="1" ht="15">
      <c r="A104" s="2" t="s">
        <v>114</v>
      </c>
      <c r="B104" s="1"/>
      <c r="C104" s="7" t="str">
        <f>"(A.)"&amp;D103</f>
        <v>(A.)高速、寬頻。</v>
      </c>
      <c r="D104" s="2"/>
      <c r="E104" s="2"/>
      <c r="F104" s="2"/>
      <c r="G104" s="2"/>
      <c r="H104" s="2"/>
      <c r="I104" s="2"/>
    </row>
    <row r="105" spans="1:9" s="3" customFormat="1" ht="15">
      <c r="A105" s="2"/>
      <c r="B105" s="1"/>
      <c r="C105" s="7" t="str">
        <f>"(B.)"&amp;E103</f>
        <v>(B.)保密。</v>
      </c>
      <c r="D105" s="2"/>
      <c r="E105" s="2"/>
      <c r="F105" s="2"/>
      <c r="G105" s="2"/>
      <c r="H105" s="2"/>
      <c r="I105" s="2"/>
    </row>
    <row r="106" spans="1:9" s="3" customFormat="1" ht="15">
      <c r="A106" s="2"/>
      <c r="B106" s="2"/>
      <c r="C106" s="7" t="str">
        <f>"(C.)"&amp;F103</f>
        <v>(C.)抗干擾。</v>
      </c>
      <c r="D106" s="2"/>
      <c r="E106" s="2"/>
      <c r="F106" s="2"/>
      <c r="G106" s="2"/>
      <c r="H106" s="2"/>
      <c r="I106" s="2"/>
    </row>
    <row r="107" spans="1:9" s="3" customFormat="1" ht="15">
      <c r="A107" s="2"/>
      <c r="B107" s="2"/>
      <c r="C107" s="7" t="str">
        <f>"(D.)"&amp;G103</f>
        <v>(D.)以上皆是。</v>
      </c>
      <c r="D107" s="2"/>
      <c r="E107" s="2"/>
      <c r="F107" s="2"/>
      <c r="G107" s="2"/>
      <c r="H107" s="2"/>
      <c r="I107" s="2"/>
    </row>
    <row r="108" spans="1:9" s="3" customFormat="1" ht="15">
      <c r="A108" s="2"/>
      <c r="B108" s="2"/>
      <c r="C108" s="7" t="str">
        <f>"答案是： "&amp;IF(H103="A.",C104,IF(H103="B.",C105,IF(H103="C.",C106,IF(H103=("D."),C107,"XXXX"))))</f>
        <v>答案是： (D.)以上皆是。</v>
      </c>
      <c r="D108" s="2"/>
      <c r="E108" s="2"/>
      <c r="F108" s="2"/>
      <c r="G108" s="2"/>
      <c r="H108" s="2"/>
      <c r="I108" s="2"/>
    </row>
    <row r="109" spans="1:9" s="3" customFormat="1" ht="150">
      <c r="A109" s="2"/>
      <c r="B109" s="2"/>
      <c r="C109" s="7" t="str">
        <f>"說明："&amp;I103</f>
        <v>說明：遙控無人機的通訊技術主要朝向 高速、寬頻、保密與抗干擾 方向發展，以滿足即時影像傳輸、遠距操控及複雜任務的需求。
依據交通部民用航空局的無人機學科測驗題庫規範，相關發展方向包含以下重點：高速與寬頻：支援高解析度即時影像（如 4K/8K 視訊）及龐大數據的傳輸。保密性：確保飛行指令與資料不被攔截或篡改，提升飛行任務安全性。抗干擾能力：在電磁環境複雜或遭受惡意干擾時，仍能維持穩定的連線與控制。</v>
      </c>
      <c r="D109" s="2"/>
      <c r="E109" s="2"/>
      <c r="F109" s="2"/>
      <c r="G109" s="2"/>
      <c r="H109" s="2"/>
      <c r="I109" s="2"/>
    </row>
    <row r="110" spans="1:9" s="3" customFormat="1" ht="45">
      <c r="A110" s="4" t="str">
        <f>dB題庫!A23</f>
        <v>22</v>
      </c>
      <c r="B110" s="4" t="str">
        <f>dB題庫!B23</f>
        <v>隨著機載感測器精度和任務複雜度的上升,機載處理器的下列哪項需求也將隨之提高</v>
      </c>
      <c r="C110" s="4" t="str">
        <f>A110&amp;"."&amp;B110</f>
        <v>22.隨著機載感測器精度和任務複雜度的上升,機載處理器的下列哪項需求也將隨之提高</v>
      </c>
      <c r="D110" s="4" t="str">
        <f>dB題庫!C23</f>
        <v>運算需求。</v>
      </c>
      <c r="E110" s="4" t="str">
        <f>dB題庫!D23</f>
        <v>保密需求。</v>
      </c>
      <c r="F110" s="4" t="str">
        <f>dB題庫!E23</f>
        <v>抗干擾需求。</v>
      </c>
      <c r="G110" s="4" t="str">
        <f>dB題庫!F23</f>
        <v>重量需求。</v>
      </c>
      <c r="H110" s="4" t="str">
        <f>dB題庫!G23</f>
        <v>A.</v>
      </c>
      <c r="I110" s="4" t="str">
        <f>dB題庫!H23</f>
        <v>隨著機載感測器精度和任務複雜度的上升，機載處理器的運算需求也將隨之提高。為了處理來自高精度感測器的大量資料並執行複雜的任務邏輯，機載計算機必須具備更強大的數據處理與分析能力。</v>
      </c>
    </row>
    <row r="111" spans="1:9" s="3" customFormat="1" ht="15">
      <c r="A111" s="2" t="s">
        <v>114</v>
      </c>
      <c r="B111" s="1"/>
      <c r="C111" s="7" t="str">
        <f>"(A.)"&amp;D110</f>
        <v>(A.)運算需求。</v>
      </c>
      <c r="D111" s="2"/>
      <c r="E111" s="2"/>
      <c r="F111" s="2"/>
      <c r="G111" s="2"/>
      <c r="H111" s="2"/>
      <c r="I111" s="2"/>
    </row>
    <row r="112" spans="1:9" s="3" customFormat="1" ht="15">
      <c r="A112" s="2"/>
      <c r="B112" s="1"/>
      <c r="C112" s="7" t="str">
        <f>"(B.)"&amp;E110</f>
        <v>(B.)保密需求。</v>
      </c>
      <c r="D112" s="2"/>
      <c r="E112" s="2"/>
      <c r="F112" s="2"/>
      <c r="G112" s="2"/>
      <c r="H112" s="2"/>
      <c r="I112" s="2"/>
    </row>
    <row r="113" spans="1:9" s="3" customFormat="1" ht="15">
      <c r="A113" s="2"/>
      <c r="B113" s="2"/>
      <c r="C113" s="7" t="str">
        <f>"(C.)"&amp;F110</f>
        <v>(C.)抗干擾需求。</v>
      </c>
      <c r="D113" s="2"/>
      <c r="E113" s="2"/>
      <c r="F113" s="2"/>
      <c r="G113" s="2"/>
      <c r="H113" s="2"/>
      <c r="I113" s="2"/>
    </row>
    <row r="114" spans="1:9" s="3" customFormat="1" ht="15">
      <c r="A114" s="2"/>
      <c r="B114" s="2"/>
      <c r="C114" s="7" t="str">
        <f>"(D.)"&amp;G110</f>
        <v>(D.)重量需求。</v>
      </c>
      <c r="D114" s="2"/>
      <c r="E114" s="2"/>
      <c r="F114" s="2"/>
      <c r="G114" s="2"/>
      <c r="H114" s="2"/>
      <c r="I114" s="2"/>
    </row>
    <row r="115" spans="1:9" s="3" customFormat="1" ht="15">
      <c r="A115" s="2"/>
      <c r="B115" s="2"/>
      <c r="C115" s="7" t="str">
        <f>"答案是： "&amp;IF(H110="A.",C111,IF(H110="B.",C112,IF(H110="C.",C113,IF(H110=("D."),C114,"XXXX"))))</f>
        <v>答案是： (A.)運算需求。</v>
      </c>
      <c r="D115" s="2"/>
      <c r="E115" s="2"/>
      <c r="F115" s="2"/>
      <c r="G115" s="2"/>
      <c r="H115" s="2"/>
      <c r="I115" s="2"/>
    </row>
    <row r="116" spans="1:9" s="3" customFormat="1" ht="75">
      <c r="A116" s="2"/>
      <c r="B116" s="2"/>
      <c r="C116" s="7" t="str">
        <f>"說明："&amp;I110</f>
        <v>說明：隨著機載感測器精度和任務複雜度的上升，機載處理器的運算需求也將隨之提高。為了處理來自高精度感測器的大量資料並執行複雜的任務邏輯，機載計算機必須具備更強大的數據處理與分析能力。</v>
      </c>
      <c r="D116" s="2"/>
      <c r="E116" s="2"/>
      <c r="F116" s="2"/>
      <c r="G116" s="2"/>
      <c r="H116" s="2"/>
      <c r="I116" s="2"/>
    </row>
    <row r="117" spans="1:9" s="3" customFormat="1" ht="45">
      <c r="A117" s="4" t="str">
        <f>dB題庫!A24</f>
        <v>23</v>
      </c>
      <c r="B117" s="4" t="str">
        <f>dB題庫!B24</f>
        <v>所謂航空器,係指任何藉空氣之下列哪種力,得以飛航於大氣中之器物</v>
      </c>
      <c r="C117" s="4" t="str">
        <f>A117&amp;"."&amp;B117</f>
        <v>23.所謂航空器,係指任何藉空氣之下列哪種力,得以飛航於大氣中之器物</v>
      </c>
      <c r="D117" s="4" t="str">
        <f>dB題庫!C24</f>
        <v>摩擦力。</v>
      </c>
      <c r="E117" s="4" t="str">
        <f>dB題庫!D24</f>
        <v>靜電力。</v>
      </c>
      <c r="F117" s="4" t="str">
        <f>dB題庫!E24</f>
        <v>反作用力。</v>
      </c>
      <c r="G117" s="4" t="str">
        <f>dB題庫!F24</f>
        <v>以上皆是。</v>
      </c>
      <c r="H117" s="4" t="str">
        <f>dB題庫!G24</f>
        <v>C.</v>
      </c>
      <c r="I117" s="4" t="str">
        <f>dB題庫!H24</f>
        <v>根據我國《民用航空法》第二條第一項的定義，所謂航空器，係指任何藉空氣之反作用力（而非藉空氣對地球表面之反作用力），得以飛航於大氣中之器物。常見的定翼機、直升機、無人機等，皆是利用此原理在大氣中飛行。</v>
      </c>
    </row>
    <row r="118" spans="1:9" s="3" customFormat="1" ht="15">
      <c r="A118" s="2" t="s">
        <v>114</v>
      </c>
      <c r="B118" s="1"/>
      <c r="C118" s="7" t="str">
        <f>"(A.)"&amp;D117</f>
        <v>(A.)摩擦力。</v>
      </c>
      <c r="D118" s="2"/>
      <c r="E118" s="2"/>
      <c r="F118" s="2"/>
      <c r="G118" s="2"/>
      <c r="H118" s="2"/>
      <c r="I118" s="2"/>
    </row>
    <row r="119" spans="1:9" s="3" customFormat="1" ht="15">
      <c r="A119" s="2"/>
      <c r="B119" s="1"/>
      <c r="C119" s="7" t="str">
        <f>"(B.)"&amp;E117</f>
        <v>(B.)靜電力。</v>
      </c>
      <c r="D119" s="2"/>
      <c r="E119" s="2"/>
      <c r="F119" s="2"/>
      <c r="G119" s="2"/>
      <c r="H119" s="2"/>
      <c r="I119" s="2"/>
    </row>
    <row r="120" spans="1:9" s="3" customFormat="1" ht="15">
      <c r="A120" s="2"/>
      <c r="B120" s="2"/>
      <c r="C120" s="7" t="str">
        <f>"(C.)"&amp;F117</f>
        <v>(C.)反作用力。</v>
      </c>
      <c r="D120" s="2"/>
      <c r="E120" s="2"/>
      <c r="F120" s="2"/>
      <c r="G120" s="2"/>
      <c r="H120" s="2"/>
      <c r="I120" s="2"/>
    </row>
    <row r="121" spans="1:9" s="3" customFormat="1" ht="15">
      <c r="A121" s="2"/>
      <c r="B121" s="2"/>
      <c r="C121" s="7" t="str">
        <f>"(D.)"&amp;G117</f>
        <v>(D.)以上皆是。</v>
      </c>
      <c r="D121" s="2"/>
      <c r="E121" s="2"/>
      <c r="F121" s="2"/>
      <c r="G121" s="2"/>
      <c r="H121" s="2"/>
      <c r="I121" s="2"/>
    </row>
    <row r="122" spans="1:9" s="3" customFormat="1" ht="15">
      <c r="A122" s="2"/>
      <c r="B122" s="2"/>
      <c r="C122" s="7" t="str">
        <f>"答案是： "&amp;IF(H117="A.",C118,IF(H117="B.",C119,IF(H117="C.",C120,IF(H117=("D."),C121,"XXXX"))))</f>
        <v>答案是： (C.)反作用力。</v>
      </c>
      <c r="D122" s="2"/>
      <c r="E122" s="2"/>
      <c r="F122" s="2"/>
      <c r="G122" s="2"/>
      <c r="H122" s="2"/>
      <c r="I122" s="2"/>
    </row>
    <row r="123" spans="1:9" s="3" customFormat="1" ht="75">
      <c r="A123" s="2"/>
      <c r="B123" s="2"/>
      <c r="C123" s="7" t="str">
        <f>"說明："&amp;I117</f>
        <v>說明：根據我國《民用航空法》第二條第一項的定義，所謂航空器，係指任何藉空氣之反作用力（而非藉空氣對地球表面之反作用力），得以飛航於大氣中之器物。常見的定翼機、直升機、無人機等，皆是利用此原理在大氣中飛行。</v>
      </c>
      <c r="D123" s="2"/>
      <c r="E123" s="2"/>
      <c r="F123" s="2"/>
      <c r="G123" s="2"/>
      <c r="H123" s="2"/>
      <c r="I123" s="2"/>
    </row>
    <row r="124" spans="1:9" s="3" customFormat="1" ht="45">
      <c r="A124" s="4" t="str">
        <f>dB題庫!A25</f>
        <v>24</v>
      </c>
      <c r="B124" s="4" t="str">
        <f>dB題庫!B25</f>
        <v>遙控無人機比空氣重,無法只藉由空氣的浮力而上升,需要相對應的下列哪個項目在空中飛行</v>
      </c>
      <c r="C124" s="4" t="str">
        <f>A124&amp;"."&amp;B124</f>
        <v>24.遙控無人機比空氣重,無法只藉由空氣的浮力而上升,需要相對應的下列哪個項目在空中飛行</v>
      </c>
      <c r="D124" s="4" t="str">
        <f>dB題庫!C25</f>
        <v>能量。</v>
      </c>
      <c r="E124" s="4" t="str">
        <f>dB題庫!D25</f>
        <v>機身外表顏色。</v>
      </c>
      <c r="F124" s="4" t="str">
        <f>dB題庫!E25</f>
        <v>起落架材質。</v>
      </c>
      <c r="G124" s="4" t="str">
        <f>dB題庫!F25</f>
        <v>以上皆是。</v>
      </c>
      <c r="H124" s="4" t="str">
        <f>dB題庫!G25</f>
        <v>A.</v>
      </c>
      <c r="I124" s="4" t="str">
        <f>dB題庫!H25</f>
        <v>遙控無人機比空氣重，無法單靠空氣的浮力（如熱氣球）上升，必須藉由馬達與螺旋槳產生相對應的「能量」（例如電池電力）。此能量能推動螺旋槳或噴射引擎產生升力與推力，以克服機身重力與空氣阻力，進而在空中飛行。</v>
      </c>
    </row>
    <row r="125" spans="1:9" s="3" customFormat="1" ht="15">
      <c r="A125" s="2" t="s">
        <v>114</v>
      </c>
      <c r="B125" s="1"/>
      <c r="C125" s="7" t="str">
        <f>"(A.)"&amp;D124</f>
        <v>(A.)能量。</v>
      </c>
      <c r="D125" s="2"/>
      <c r="E125" s="2"/>
      <c r="F125" s="2"/>
      <c r="G125" s="2"/>
      <c r="H125" s="2"/>
      <c r="I125" s="2"/>
    </row>
    <row r="126" spans="1:9" s="3" customFormat="1" ht="15">
      <c r="A126" s="2"/>
      <c r="B126" s="1"/>
      <c r="C126" s="7" t="str">
        <f>"(B.)"&amp;E124</f>
        <v>(B.)機身外表顏色。</v>
      </c>
      <c r="D126" s="2"/>
      <c r="E126" s="2"/>
      <c r="F126" s="2"/>
      <c r="G126" s="2"/>
      <c r="H126" s="2"/>
      <c r="I126" s="2"/>
    </row>
    <row r="127" spans="1:9" s="3" customFormat="1" ht="15">
      <c r="A127" s="2"/>
      <c r="B127" s="2"/>
      <c r="C127" s="7" t="str">
        <f>"(C.)"&amp;F124</f>
        <v>(C.)起落架材質。</v>
      </c>
      <c r="D127" s="2"/>
      <c r="E127" s="2"/>
      <c r="F127" s="2"/>
      <c r="G127" s="2"/>
      <c r="H127" s="2"/>
      <c r="I127" s="2"/>
    </row>
    <row r="128" spans="1:9" s="3" customFormat="1" ht="15">
      <c r="A128" s="2"/>
      <c r="B128" s="2"/>
      <c r="C128" s="7" t="str">
        <f>"(D.)"&amp;G124</f>
        <v>(D.)以上皆是。</v>
      </c>
      <c r="D128" s="2"/>
      <c r="E128" s="2"/>
      <c r="F128" s="2"/>
      <c r="G128" s="2"/>
      <c r="H128" s="2"/>
      <c r="I128" s="2"/>
    </row>
    <row r="129" spans="1:9" s="3" customFormat="1" ht="15">
      <c r="A129" s="2"/>
      <c r="B129" s="2"/>
      <c r="C129" s="7" t="str">
        <f>"答案是： "&amp;IF(H124="A.",C125,IF(H124="B.",C126,IF(H124="C.",C127,IF(H124=("D."),C128,"XXXX"))))</f>
        <v>答案是： (A.)能量。</v>
      </c>
      <c r="D129" s="2"/>
      <c r="E129" s="2"/>
      <c r="F129" s="2"/>
      <c r="G129" s="2"/>
      <c r="H129" s="2"/>
      <c r="I129" s="2"/>
    </row>
    <row r="130" spans="1:9" s="3" customFormat="1" ht="75">
      <c r="A130" s="2"/>
      <c r="B130" s="2"/>
      <c r="C130" s="7" t="str">
        <f>"說明："&amp;I124</f>
        <v>說明：遙控無人機比空氣重，無法單靠空氣的浮力（如熱氣球）上升，必須藉由馬達與螺旋槳產生相對應的「能量」（例如電池電力）。此能量能推動螺旋槳或噴射引擎產生升力與推力，以克服機身重力與空氣阻力，進而在空中飛行。</v>
      </c>
      <c r="D130" s="2"/>
      <c r="E130" s="2"/>
      <c r="F130" s="2"/>
      <c r="G130" s="2"/>
      <c r="H130" s="2"/>
      <c r="I130" s="2"/>
    </row>
    <row r="131" spans="1:9" s="3" customFormat="1" ht="90">
      <c r="A131" s="4" t="str">
        <f>dB題庫!A26</f>
        <v>25</v>
      </c>
      <c r="B131" s="4" t="str">
        <f>dB題庫!B26</f>
        <v>航空器利用噴射推力或是螺旋槳的拉力,使航空器產生下列哪種力而在空中飛行</v>
      </c>
      <c r="C131" s="4" t="str">
        <f>A131&amp;"."&amp;B131</f>
        <v>25.航空器利用噴射推力或是螺旋槳的拉力,使航空器產生下列哪種力而在空中飛行</v>
      </c>
      <c r="D131" s="4" t="str">
        <f>dB題庫!C26</f>
        <v>內力。</v>
      </c>
      <c r="E131" s="4" t="str">
        <f>dB題庫!D26</f>
        <v>升力。</v>
      </c>
      <c r="F131" s="4" t="str">
        <f>dB題庫!E26</f>
        <v>彈力。</v>
      </c>
      <c r="G131" s="4" t="str">
        <f>dB題庫!F26</f>
        <v>以上皆是。</v>
      </c>
      <c r="H131" s="4" t="str">
        <f>dB題庫!G26</f>
        <v>B.</v>
      </c>
      <c r="I131" s="4" t="str">
        <f>dB題庫!H26</f>
        <v>航空器利用噴射推力或螺旋槳的拉力，使機身產生前進的速度，並讓流過機翼的氣流產生壓差，進而產生 (B.) 升力 而在空中飛行。飛行器在飛行時，主要會受到四種作用力的影響：推力 (Thrust)：由噴射發動機或螺旋槳產生，用以克服空氣阻力並提供前進的動力。升力 (Lift)：氣流流經機翼上下表面產生壓力差（柏努利定律），將航空器托起，使其能夠對抗重力飛行。重力 (Weight)：地球對航空器的引力。阻力 (Drag)：機身與空氣摩擦產生的反作用力，與飛行方向相反。</v>
      </c>
    </row>
    <row r="132" spans="1:9" s="3" customFormat="1" ht="15">
      <c r="A132" s="2" t="s">
        <v>114</v>
      </c>
      <c r="B132" s="1"/>
      <c r="C132" s="7" t="str">
        <f>"(A.)"&amp;D131</f>
        <v>(A.)內力。</v>
      </c>
      <c r="D132" s="2"/>
      <c r="E132" s="2"/>
      <c r="F132" s="2"/>
      <c r="G132" s="2"/>
      <c r="H132" s="2"/>
      <c r="I132" s="2"/>
    </row>
    <row r="133" spans="1:9" s="3" customFormat="1" ht="15">
      <c r="A133" s="2"/>
      <c r="B133" s="1"/>
      <c r="C133" s="7" t="str">
        <f>"(B.)"&amp;E131</f>
        <v>(B.)升力。</v>
      </c>
      <c r="D133" s="2"/>
      <c r="E133" s="2"/>
      <c r="F133" s="2"/>
      <c r="G133" s="2"/>
      <c r="H133" s="2"/>
      <c r="I133" s="2"/>
    </row>
    <row r="134" spans="1:9" s="3" customFormat="1" ht="15">
      <c r="A134" s="2"/>
      <c r="B134" s="2"/>
      <c r="C134" s="7" t="str">
        <f>"(C.)"&amp;F131</f>
        <v>(C.)彈力。</v>
      </c>
      <c r="D134" s="2"/>
      <c r="E134" s="2"/>
      <c r="F134" s="2"/>
      <c r="G134" s="2"/>
      <c r="H134" s="2"/>
      <c r="I134" s="2"/>
    </row>
    <row r="135" spans="1:9" s="3" customFormat="1" ht="15">
      <c r="A135" s="2"/>
      <c r="B135" s="2"/>
      <c r="C135" s="7" t="str">
        <f>"(D.)"&amp;G131</f>
        <v>(D.)以上皆是。</v>
      </c>
      <c r="D135" s="2"/>
      <c r="E135" s="2"/>
      <c r="F135" s="2"/>
      <c r="G135" s="2"/>
      <c r="H135" s="2"/>
      <c r="I135" s="2"/>
    </row>
    <row r="136" spans="1:9" s="3" customFormat="1" ht="15">
      <c r="A136" s="2"/>
      <c r="B136" s="2"/>
      <c r="C136" s="7" t="str">
        <f>"答案是： "&amp;IF(H131="A.",C132,IF(H131="B.",C133,IF(H131="C.",C134,IF(H131=("D."),C135,"XXXX"))))</f>
        <v>答案是： (B.)升力。</v>
      </c>
      <c r="D136" s="2"/>
      <c r="E136" s="2"/>
      <c r="F136" s="2"/>
      <c r="G136" s="2"/>
      <c r="H136" s="2"/>
      <c r="I136" s="2"/>
    </row>
    <row r="137" spans="1:9" s="3" customFormat="1" ht="165">
      <c r="A137" s="2"/>
      <c r="B137" s="2"/>
      <c r="C137" s="7" t="str">
        <f>"說明："&amp;I131</f>
        <v>說明：航空器利用噴射推力或螺旋槳的拉力，使機身產生前進的速度，並讓流過機翼的氣流產生壓差，進而產生 (B.) 升力 而在空中飛行。飛行器在飛行時，主要會受到四種作用力的影響：推力 (Thrust)：由噴射發動機或螺旋槳產生，用以克服空氣阻力並提供前進的動力。升力 (Lift)：氣流流經機翼上下表面產生壓力差（柏努利定律），將航空器托起，使其能夠對抗重力飛行。重力 (Weight)：地球對航空器的引力。阻力 (Drag)：機身與空氣摩擦產生的反作用力，與飛行方向相反。</v>
      </c>
      <c r="D137" s="2"/>
      <c r="E137" s="2"/>
      <c r="F137" s="2"/>
      <c r="G137" s="2"/>
      <c r="H137" s="2"/>
      <c r="I137" s="2"/>
    </row>
    <row r="138" spans="1:9" s="3" customFormat="1" ht="45">
      <c r="A138" s="4" t="str">
        <f>dB題庫!A27</f>
        <v>26</v>
      </c>
      <c r="B138" s="4" t="str">
        <f>dB題庫!B27</f>
        <v>飛行速度快、酬載大、飛行效率高,不需太複雜控制,就可自行抵抗氣流而自行保持穩定的飛行的遙控無人機,是下列哪種遙控無人機</v>
      </c>
      <c r="C138" s="4" t="str">
        <f>A138&amp;"."&amp;B138</f>
        <v>26.飛行速度快、酬載大、飛行效率高,不需太複雜控制,就可自行抵抗氣流而自行保持穩定的飛行的遙控無人機,是下列哪種遙控無人機</v>
      </c>
      <c r="D138" s="4" t="str">
        <f>dB題庫!C27</f>
        <v>遙控無人直昇機。</v>
      </c>
      <c r="E138" s="4" t="str">
        <f>dB題庫!D27</f>
        <v>遙控無人飛機。</v>
      </c>
      <c r="F138" s="4" t="str">
        <f>dB題庫!E27</f>
        <v>遙控無人多旋翼機。</v>
      </c>
      <c r="G138" s="4" t="str">
        <f>dB題庫!F27</f>
        <v>以上皆是。</v>
      </c>
      <c r="H138" s="4" t="str">
        <f>dB題庫!G27</f>
        <v>B.</v>
      </c>
      <c r="I138" s="4" t="str">
        <f>dB題庫!H27</f>
        <v>無人飛機因機翼固定，具有飛行速度快、酬載大與飛行效率高的優勢。受惠於機翼的空氣動力學設計，它不需要太複雜的控制，即可自行抵抗氣流並保持穩定的飛行。其主要缺點則是起降時需要較長的跑道距離。</v>
      </c>
    </row>
    <row r="139" spans="1:9" s="3" customFormat="1" ht="15">
      <c r="A139" s="2" t="s">
        <v>114</v>
      </c>
      <c r="B139" s="1"/>
      <c r="C139" s="7" t="str">
        <f>"(A.)"&amp;D138</f>
        <v>(A.)遙控無人直昇機。</v>
      </c>
      <c r="D139" s="2"/>
      <c r="E139" s="2"/>
      <c r="F139" s="2"/>
      <c r="G139" s="2"/>
      <c r="H139" s="2"/>
      <c r="I139" s="2"/>
    </row>
    <row r="140" spans="1:9" s="3" customFormat="1" ht="15">
      <c r="A140" s="2"/>
      <c r="B140" s="1"/>
      <c r="C140" s="7" t="str">
        <f>"(B.)"&amp;E138</f>
        <v>(B.)遙控無人飛機。</v>
      </c>
      <c r="D140" s="2"/>
      <c r="E140" s="2"/>
      <c r="F140" s="2"/>
      <c r="G140" s="2"/>
      <c r="H140" s="2"/>
      <c r="I140" s="2"/>
    </row>
    <row r="141" spans="1:9" s="3" customFormat="1" ht="15">
      <c r="A141" s="2"/>
      <c r="B141" s="2"/>
      <c r="C141" s="7" t="str">
        <f>"(C.)"&amp;F138</f>
        <v>(C.)遙控無人多旋翼機。</v>
      </c>
      <c r="D141" s="2"/>
      <c r="E141" s="2"/>
      <c r="F141" s="2"/>
      <c r="G141" s="2"/>
      <c r="H141" s="2"/>
      <c r="I141" s="2"/>
    </row>
    <row r="142" spans="1:9" s="3" customFormat="1" ht="15">
      <c r="A142" s="2"/>
      <c r="B142" s="2"/>
      <c r="C142" s="7" t="str">
        <f>"(D.)"&amp;G138</f>
        <v>(D.)以上皆是。</v>
      </c>
      <c r="D142" s="2"/>
      <c r="E142" s="2"/>
      <c r="F142" s="2"/>
      <c r="G142" s="2"/>
      <c r="H142" s="2"/>
      <c r="I142" s="2"/>
    </row>
    <row r="143" spans="1:9" s="3" customFormat="1" ht="15">
      <c r="A143" s="2"/>
      <c r="B143" s="2"/>
      <c r="C143" s="7" t="str">
        <f>"答案是： "&amp;IF(H138="A.",C139,IF(H138="B.",C140,IF(H138="C.",C141,IF(H138=("D."),C142,"XXXX"))))</f>
        <v>答案是： (B.)遙控無人飛機。</v>
      </c>
      <c r="D143" s="2"/>
      <c r="E143" s="2"/>
      <c r="F143" s="2"/>
      <c r="G143" s="2"/>
      <c r="H143" s="2"/>
      <c r="I143" s="2"/>
    </row>
    <row r="144" spans="1:9" s="3" customFormat="1" ht="75">
      <c r="A144" s="2"/>
      <c r="B144" s="2"/>
      <c r="C144" s="7" t="str">
        <f>"說明："&amp;I138</f>
        <v>說明：無人飛機因機翼固定，具有飛行速度快、酬載大與飛行效率高的優勢。受惠於機翼的空氣動力學設計，它不需要太複雜的控制，即可自行抵抗氣流並保持穩定的飛行。其主要缺點則是起降時需要較長的跑道距離。</v>
      </c>
      <c r="D144" s="2"/>
      <c r="E144" s="2"/>
      <c r="F144" s="2"/>
      <c r="G144" s="2"/>
      <c r="H144" s="2"/>
      <c r="I144" s="2"/>
    </row>
    <row r="145" spans="1:9" s="3" customFormat="1" ht="60">
      <c r="A145" s="4" t="str">
        <f>dB題庫!A28</f>
        <v>27</v>
      </c>
      <c r="B145" s="4" t="str">
        <f>dB題庫!B28</f>
        <v>遙控無人飛機缺點是需要有下列哪個項目供起降之用</v>
      </c>
      <c r="C145" s="4" t="str">
        <f>A145&amp;"."&amp;B145</f>
        <v>27.遙控無人飛機缺點是需要有下列哪個項目供起降之用</v>
      </c>
      <c r="D145" s="4" t="str">
        <f>dB題庫!C28</f>
        <v>相當的跑道高度。</v>
      </c>
      <c r="E145" s="4" t="str">
        <f>dB題庫!D28</f>
        <v>相當的跑道溫度。</v>
      </c>
      <c r="F145" s="4" t="str">
        <f>dB題庫!E28</f>
        <v>相當的跑道長度。</v>
      </c>
      <c r="G145" s="4" t="str">
        <f>dB題庫!F28</f>
        <v>以上皆是。</v>
      </c>
      <c r="H145" s="4" t="str">
        <f>dB題庫!G28</f>
        <v>C.</v>
      </c>
      <c r="I145" s="4" t="str">
        <f>dB題庫!H28</f>
        <v>遙控無人「飛機」的缺點是需要有相當的 跑道長度 供起降之用，無法像直昇機或多旋翼機一樣進行垂直起降。
傳統固定翼無人飛機起飛時，必須藉由滑行來獲得足夠的相對風與升力；降落時也需要滑行距離來減速煞停，因此平坦且長度足夠的跑道是必備條件。</v>
      </c>
    </row>
    <row r="146" spans="1:9" s="3" customFormat="1" ht="15">
      <c r="A146" s="2" t="s">
        <v>114</v>
      </c>
      <c r="B146" s="1"/>
      <c r="C146" s="7" t="str">
        <f>"(A.)"&amp;D145</f>
        <v>(A.)相當的跑道高度。</v>
      </c>
      <c r="D146" s="2"/>
      <c r="E146" s="2"/>
      <c r="F146" s="2"/>
      <c r="G146" s="2"/>
      <c r="H146" s="2"/>
      <c r="I146" s="2"/>
    </row>
    <row r="147" spans="1:9" s="3" customFormat="1" ht="15">
      <c r="A147" s="2"/>
      <c r="B147" s="1"/>
      <c r="C147" s="7" t="str">
        <f>"(B.)"&amp;E145</f>
        <v>(B.)相當的跑道溫度。</v>
      </c>
      <c r="D147" s="2"/>
      <c r="E147" s="2"/>
      <c r="F147" s="2"/>
      <c r="G147" s="2"/>
      <c r="H147" s="2"/>
      <c r="I147" s="2"/>
    </row>
    <row r="148" spans="1:9" s="3" customFormat="1" ht="15">
      <c r="A148" s="2"/>
      <c r="B148" s="2"/>
      <c r="C148" s="7" t="str">
        <f>"(C.)"&amp;F145</f>
        <v>(C.)相當的跑道長度。</v>
      </c>
      <c r="D148" s="2"/>
      <c r="E148" s="2"/>
      <c r="F148" s="2"/>
      <c r="G148" s="2"/>
      <c r="H148" s="2"/>
      <c r="I148" s="2"/>
    </row>
    <row r="149" spans="1:9" s="3" customFormat="1" ht="15">
      <c r="A149" s="2"/>
      <c r="B149" s="2"/>
      <c r="C149" s="7" t="str">
        <f>"(D.)"&amp;G145</f>
        <v>(D.)以上皆是。</v>
      </c>
      <c r="D149" s="2"/>
      <c r="E149" s="2"/>
      <c r="F149" s="2"/>
      <c r="G149" s="2"/>
      <c r="H149" s="2"/>
      <c r="I149" s="2"/>
    </row>
    <row r="150" spans="1:9" s="3" customFormat="1" ht="15">
      <c r="A150" s="2"/>
      <c r="B150" s="2"/>
      <c r="C150" s="7" t="str">
        <f>"答案是： "&amp;IF(H145="A.",C146,IF(H145="B.",C147,IF(H145="C.",C148,IF(H145=("D."),C149,"XXXX"))))</f>
        <v>答案是： (C.)相當的跑道長度。</v>
      </c>
      <c r="D150" s="2"/>
      <c r="E150" s="2"/>
      <c r="F150" s="2"/>
      <c r="G150" s="2"/>
      <c r="H150" s="2"/>
      <c r="I150" s="2"/>
    </row>
    <row r="151" spans="1:9" s="3" customFormat="1" ht="105">
      <c r="A151" s="2"/>
      <c r="B151" s="2"/>
      <c r="C151" s="7" t="str">
        <f>"說明："&amp;I145</f>
        <v>說明：遙控無人「飛機」的缺點是需要有相當的 跑道長度 供起降之用，無法像直昇機或多旋翼機一樣進行垂直起降。
傳統固定翼無人飛機起飛時，必須藉由滑行來獲得足夠的相對風與升力；降落時也需要滑行距離來減速煞停，因此平坦且長度足夠的跑道是必備條件。</v>
      </c>
      <c r="D151" s="2"/>
      <c r="E151" s="2"/>
      <c r="F151" s="2"/>
      <c r="G151" s="2"/>
      <c r="H151" s="2"/>
      <c r="I151" s="2"/>
    </row>
    <row r="152" spans="1:9" s="3" customFormat="1" ht="60">
      <c r="A152" s="4" t="str">
        <f>dB題庫!A29</f>
        <v>28</v>
      </c>
      <c r="B152" s="4" t="str">
        <f>dB題庫!B29</f>
        <v>透過旋翼槳葉產生升力,同時也能產生推力的遙控無人機,是下列哪種遙控無人機</v>
      </c>
      <c r="C152" s="4" t="str">
        <f>A152&amp;"."&amp;B152</f>
        <v>28.透過旋翼槳葉產生升力,同時也能產生推力的遙控無人機,是下列哪種遙控無人機</v>
      </c>
      <c r="D152" s="4" t="str">
        <f>dB題庫!C29</f>
        <v>遙控無人直昇機。</v>
      </c>
      <c r="E152" s="4" t="str">
        <f>dB題庫!D29</f>
        <v>遙控無人飛機.</v>
      </c>
      <c r="F152" s="4" t="str">
        <f>dB題庫!E29</f>
        <v>遙控無人多旋翼機。</v>
      </c>
      <c r="G152" s="4" t="str">
        <f>dB題庫!F29</f>
        <v>以上皆是。</v>
      </c>
      <c r="H152" s="4" t="str">
        <f>dB題庫!G29</f>
        <v>A.</v>
      </c>
      <c r="I152" s="4" t="str">
        <f>dB題庫!H29</f>
        <v>透過旋翼槳葉產生升力，同時也能產生推力的遙控無人機是遙控無人直昇機。
無人直昇機的主旋翼透過改變槳葉螺距，不僅能提供向上的升力，還能透過傾斜旋翼面產生前進或後退的推力，進而自由調整姿態、定點盤旋與垂直起降。這項分類常出現在無人機操作證的基礎飛行原理考題中。</v>
      </c>
    </row>
    <row r="153" spans="1:9" s="3" customFormat="1" ht="15">
      <c r="A153" s="2" t="s">
        <v>114</v>
      </c>
      <c r="B153" s="1"/>
      <c r="C153" s="7" t="str">
        <f>"(A.)"&amp;D152</f>
        <v>(A.)遙控無人直昇機。</v>
      </c>
      <c r="D153" s="2"/>
      <c r="E153" s="2"/>
      <c r="F153" s="2"/>
      <c r="G153" s="2"/>
      <c r="H153" s="2"/>
      <c r="I153" s="2"/>
    </row>
    <row r="154" spans="1:9" s="3" customFormat="1" ht="15">
      <c r="A154" s="2"/>
      <c r="B154" s="1"/>
      <c r="C154" s="7" t="str">
        <f>"(B.)"&amp;E152</f>
        <v>(B.)遙控無人飛機.</v>
      </c>
      <c r="D154" s="2"/>
      <c r="E154" s="2"/>
      <c r="F154" s="2"/>
      <c r="G154" s="2"/>
      <c r="H154" s="2"/>
      <c r="I154" s="2"/>
    </row>
    <row r="155" spans="1:9" s="3" customFormat="1" ht="15">
      <c r="A155" s="2"/>
      <c r="B155" s="2"/>
      <c r="C155" s="7" t="str">
        <f>"(C.)"&amp;F152</f>
        <v>(C.)遙控無人多旋翼機。</v>
      </c>
      <c r="D155" s="2"/>
      <c r="E155" s="2"/>
      <c r="F155" s="2"/>
      <c r="G155" s="2"/>
      <c r="H155" s="2"/>
      <c r="I155" s="2"/>
    </row>
    <row r="156" spans="1:9" s="3" customFormat="1" ht="15">
      <c r="A156" s="2"/>
      <c r="B156" s="2"/>
      <c r="C156" s="7" t="str">
        <f>"(D.)"&amp;G152</f>
        <v>(D.)以上皆是。</v>
      </c>
      <c r="D156" s="2"/>
      <c r="E156" s="2"/>
      <c r="F156" s="2"/>
      <c r="G156" s="2"/>
      <c r="H156" s="2"/>
      <c r="I156" s="2"/>
    </row>
    <row r="157" spans="1:9" s="3" customFormat="1" ht="15">
      <c r="A157" s="2"/>
      <c r="B157" s="2"/>
      <c r="C157" s="7" t="str">
        <f>"答案是： "&amp;IF(H152="A",C153,IF(H152="B",C154,IF(H152="C",C155,IF(H152=("D"),C156,"XXXX"))))</f>
        <v>答案是： XXXX</v>
      </c>
      <c r="D157" s="2"/>
      <c r="E157" s="2"/>
      <c r="F157" s="2"/>
      <c r="G157" s="2"/>
      <c r="H157" s="2"/>
      <c r="I157" s="2"/>
    </row>
    <row r="158" spans="1:9" s="3" customFormat="1" ht="105">
      <c r="A158" s="2"/>
      <c r="B158" s="2"/>
      <c r="C158" s="7" t="str">
        <f>"說明："&amp;I152</f>
        <v>說明：透過旋翼槳葉產生升力，同時也能產生推力的遙控無人機是遙控無人直昇機。
無人直昇機的主旋翼透過改變槳葉螺距，不僅能提供向上的升力，還能透過傾斜旋翼面產生前進或後退的推力，進而自由調整姿態、定點盤旋與垂直起降。這項分類常出現在無人機操作證的基礎飛行原理考題中。</v>
      </c>
      <c r="D158" s="2"/>
      <c r="E158" s="2"/>
      <c r="F158" s="2"/>
      <c r="G158" s="2"/>
      <c r="H158" s="2"/>
      <c r="I158" s="2"/>
    </row>
    <row r="159" spans="1:9" s="3" customFormat="1" ht="45">
      <c r="A159" s="4" t="str">
        <f>dB題庫!A30</f>
        <v>29</v>
      </c>
      <c r="B159" s="4" t="str">
        <f>dB題庫!B30</f>
        <v>無人直昇機可以執行下列哪個動作</v>
      </c>
      <c r="C159" s="4" t="str">
        <f>A159&amp;"."&amp;B159</f>
        <v>29.無人直昇機可以執行下列哪個動作</v>
      </c>
      <c r="D159" s="4" t="str">
        <f>dB題庫!C30</f>
        <v>自由調整姿態。</v>
      </c>
      <c r="E159" s="4" t="str">
        <f>dB題庫!D30</f>
        <v>定點盤旋。</v>
      </c>
      <c r="F159" s="4" t="str">
        <f>dB題庫!E30</f>
        <v>起飛與落地。</v>
      </c>
      <c r="G159" s="4" t="str">
        <f>dB題庫!F30</f>
        <v>以上皆是。</v>
      </c>
      <c r="H159" s="4" t="str">
        <f>dB題庫!G30</f>
        <v>D.</v>
      </c>
      <c r="I159" s="4" t="str">
        <f>dB題庫!H30</f>
        <v>無人直昇機的主旋翼提供主要升力與前進推力，而主旋翼轉動時對機身產生的反作用扭力，必須由尾旋翼(Tail Rotor)產生的側向推力來完全抵銷，藉此精準控制機頭的轉向與穩定。</v>
      </c>
    </row>
    <row r="160" spans="1:9" s="3" customFormat="1" ht="15">
      <c r="A160" s="2" t="s">
        <v>114</v>
      </c>
      <c r="B160" s="1"/>
      <c r="C160" s="7" t="str">
        <f>"(A.)"&amp;D159</f>
        <v>(A.)自由調整姿態。</v>
      </c>
      <c r="D160" s="2"/>
      <c r="E160" s="2"/>
      <c r="F160" s="2"/>
      <c r="G160" s="2"/>
      <c r="H160" s="2"/>
      <c r="I160" s="2"/>
    </row>
    <row r="161" spans="1:9" s="3" customFormat="1" ht="15">
      <c r="A161" s="2"/>
      <c r="B161" s="1"/>
      <c r="C161" s="7" t="str">
        <f>"(B.)"&amp;E159</f>
        <v>(B.)定點盤旋。</v>
      </c>
      <c r="D161" s="2"/>
      <c r="E161" s="2"/>
      <c r="F161" s="2"/>
      <c r="G161" s="2"/>
      <c r="H161" s="2"/>
      <c r="I161" s="2"/>
    </row>
    <row r="162" spans="1:9" s="3" customFormat="1" ht="15">
      <c r="A162" s="2"/>
      <c r="B162" s="2"/>
      <c r="C162" s="7" t="str">
        <f>"(C.)"&amp;F159</f>
        <v>(C.)起飛與落地。</v>
      </c>
      <c r="D162" s="2"/>
      <c r="E162" s="2"/>
      <c r="F162" s="2"/>
      <c r="G162" s="2"/>
      <c r="H162" s="2"/>
      <c r="I162" s="2"/>
    </row>
    <row r="163" spans="1:9" s="3" customFormat="1" ht="15">
      <c r="A163" s="2"/>
      <c r="B163" s="2"/>
      <c r="C163" s="7" t="str">
        <f>"(D.)"&amp;G159</f>
        <v>(D.)以上皆是。</v>
      </c>
      <c r="D163" s="2"/>
      <c r="E163" s="2"/>
      <c r="F163" s="2"/>
      <c r="G163" s="2"/>
      <c r="H163" s="2"/>
      <c r="I163" s="2"/>
    </row>
    <row r="164" spans="1:9" s="3" customFormat="1" ht="15">
      <c r="A164" s="2"/>
      <c r="B164" s="2"/>
      <c r="C164" s="7" t="str">
        <f>"答案是： "&amp;IF(H159="A.",C160,IF(H159="B.",C161,IF(H159="C.",C162,IF(H159=("D."),C163,"XXXX"))))</f>
        <v>答案是： (D.)以上皆是。</v>
      </c>
      <c r="D164" s="2"/>
      <c r="E164" s="2"/>
      <c r="F164" s="2"/>
      <c r="G164" s="2"/>
      <c r="H164" s="2"/>
      <c r="I164" s="2"/>
    </row>
    <row r="165" spans="1:9" s="3" customFormat="1" ht="60">
      <c r="A165" s="2"/>
      <c r="B165" s="2"/>
      <c r="C165" s="7" t="str">
        <f>"說明："&amp;I159</f>
        <v>說明：無人直昇機的主旋翼提供主要升力與前進推力，而主旋翼轉動時對機身產生的反作用扭力，必須由尾旋翼(Tail Rotor)產生的側向推力來完全抵銷，藉此精準控制機頭的轉向與穩定。</v>
      </c>
      <c r="D165" s="2"/>
      <c r="E165" s="2"/>
      <c r="F165" s="2"/>
      <c r="G165" s="2"/>
      <c r="H165" s="2"/>
      <c r="I165" s="2"/>
    </row>
    <row r="166" spans="1:9" s="3" customFormat="1" ht="45">
      <c r="A166" s="4" t="str">
        <f>dB題庫!A31</f>
        <v>30</v>
      </c>
      <c r="B166" s="4" t="str">
        <f>dB題庫!B31</f>
        <v>透過三個以上垂直旋翼間協調來控制姿態,同樣不需跑道,可垂直起降、空中懸停等的遙控無人機,是下列哪種遙控無人機</v>
      </c>
      <c r="C166" s="4" t="str">
        <f>A166&amp;"."&amp;B166</f>
        <v>30.透過三個以上垂直旋翼間協調來控制姿態,同樣不需跑道,可垂直起降、空中懸停等的遙控無人機,是下列哪種遙控無人機</v>
      </c>
      <c r="D166" s="4" t="str">
        <f>dB題庫!C31</f>
        <v>無人多旋翼機。</v>
      </c>
      <c r="E166" s="4" t="str">
        <f>dB題庫!D31</f>
        <v>無人直昇機。</v>
      </c>
      <c r="F166" s="4" t="str">
        <f>dB題庫!E31</f>
        <v>無人飛機。</v>
      </c>
      <c r="G166" s="4" t="str">
        <f>dB題庫!F31</f>
        <v>以上皆是。</v>
      </c>
      <c r="H166" s="4" t="str">
        <f>dB題庫!G31</f>
        <v>A.</v>
      </c>
      <c r="I166" s="4" t="str">
        <f>dB題庫!H31</f>
        <v>無人直昇機能夠執行 定點盤旋、起飛與落地，以及自由調整姿態 等動作。由於其旋翼設計與運作原理，還可執行包括起飛離地、爬升、懸停等操作。</v>
      </c>
    </row>
    <row r="167" spans="1:9" s="3" customFormat="1" ht="15">
      <c r="A167" s="2" t="s">
        <v>114</v>
      </c>
      <c r="B167" s="1"/>
      <c r="C167" s="7" t="str">
        <f>"(A.)"&amp;D166</f>
        <v>(A.)無人多旋翼機。</v>
      </c>
      <c r="D167" s="2"/>
      <c r="E167" s="2"/>
      <c r="F167" s="2"/>
      <c r="G167" s="2"/>
      <c r="H167" s="2"/>
      <c r="I167" s="2"/>
    </row>
    <row r="168" spans="1:9" s="3" customFormat="1" ht="15">
      <c r="A168" s="2"/>
      <c r="B168" s="1"/>
      <c r="C168" s="7" t="str">
        <f>"(B.)"&amp;E166</f>
        <v>(B.)無人直昇機。</v>
      </c>
      <c r="D168" s="2"/>
      <c r="E168" s="2"/>
      <c r="F168" s="2"/>
      <c r="G168" s="2"/>
      <c r="H168" s="2"/>
      <c r="I168" s="2"/>
    </row>
    <row r="169" spans="1:9" s="3" customFormat="1" ht="15">
      <c r="A169" s="2"/>
      <c r="B169" s="2"/>
      <c r="C169" s="7" t="str">
        <f>"(C.)"&amp;F166</f>
        <v>(C.)無人飛機。</v>
      </c>
      <c r="D169" s="2"/>
      <c r="E169" s="2"/>
      <c r="F169" s="2"/>
      <c r="G169" s="2"/>
      <c r="H169" s="2"/>
      <c r="I169" s="2"/>
    </row>
    <row r="170" spans="1:9" s="3" customFormat="1" ht="15">
      <c r="A170" s="2"/>
      <c r="B170" s="2"/>
      <c r="C170" s="7" t="str">
        <f>"(D.)"&amp;G166</f>
        <v>(D.)以上皆是。</v>
      </c>
      <c r="D170" s="2"/>
      <c r="E170" s="2"/>
      <c r="F170" s="2"/>
      <c r="G170" s="2"/>
      <c r="H170" s="2"/>
      <c r="I170" s="2"/>
    </row>
    <row r="171" spans="1:9" s="3" customFormat="1" ht="15">
      <c r="A171" s="2"/>
      <c r="B171" s="2"/>
      <c r="C171" s="7" t="str">
        <f>"答案是： "&amp;IF(H166="A.",C167,IF(H166="B.",C168,IF(H166="C.",C169,IF(H166=("D."),C170,"XXXX"))))</f>
        <v>答案是： (A.)無人多旋翼機。</v>
      </c>
      <c r="D171" s="2"/>
      <c r="E171" s="2"/>
      <c r="F171" s="2"/>
      <c r="G171" s="2"/>
      <c r="H171" s="2"/>
      <c r="I171" s="2"/>
    </row>
    <row r="172" spans="1:9" s="3" customFormat="1" ht="60">
      <c r="A172" s="2"/>
      <c r="B172" s="2"/>
      <c r="C172" s="7" t="str">
        <f>"說明："&amp;I166</f>
        <v>說明：無人直昇機能夠執行 定點盤旋、起飛與落地，以及自由調整姿態 等動作。由於其旋翼設計與運作原理，還可執行包括起飛離地、爬升、懸停等操作。</v>
      </c>
      <c r="D172" s="2"/>
      <c r="E172" s="2"/>
      <c r="F172" s="2"/>
      <c r="G172" s="2"/>
      <c r="H172" s="2"/>
      <c r="I172" s="2"/>
    </row>
    <row r="173" spans="1:9" s="3" customFormat="1" ht="45">
      <c r="A173" s="4" t="str">
        <f>dB題庫!A32</f>
        <v>31</v>
      </c>
      <c r="B173" s="4" t="str">
        <f>dB題庫!B32</f>
        <v>操作人只要在遙控設備上施加桿力,就可改變遙控無人機的下列哪些性能</v>
      </c>
      <c r="C173" s="4" t="str">
        <f>A173&amp;"."&amp;B173</f>
        <v>31.操作人只要在遙控設備上施加桿力,就可改變遙控無人機的下列哪些性能</v>
      </c>
      <c r="D173" s="4" t="str">
        <f>dB題庫!C32</f>
        <v>重量或重心。</v>
      </c>
      <c r="E173" s="4" t="str">
        <f>dB題庫!D32</f>
        <v>外形或顏色。</v>
      </c>
      <c r="F173" s="4" t="str">
        <f>dB題庫!E32</f>
        <v>方向或速度。</v>
      </c>
      <c r="G173" s="4" t="str">
        <f>dB題庫!F32</f>
        <v>翼展與翼弦。</v>
      </c>
      <c r="H173" s="4" t="str">
        <f>dB題庫!G32</f>
        <v>C.</v>
      </c>
      <c r="I173" s="4" t="str">
        <f>dB題庫!H32</f>
        <v>操作人只要在遙控設備上施加桿力，就可改變遙控無人機的方向或速度。透過推拉遙控桿，系統會控制無人機的各個操縱面（如多軸馬達轉速或定翼機的副翼、升降舵等），進而達成滾轉、俯仰、偏航及油門的變換。</v>
      </c>
    </row>
    <row r="174" spans="1:9" s="3" customFormat="1" ht="15">
      <c r="A174" s="2" t="s">
        <v>114</v>
      </c>
      <c r="B174" s="1"/>
      <c r="C174" s="7" t="str">
        <f>"(A.)"&amp;D173</f>
        <v>(A.)重量或重心。</v>
      </c>
      <c r="D174" s="2"/>
      <c r="E174" s="2"/>
      <c r="F174" s="2"/>
      <c r="G174" s="2"/>
      <c r="H174" s="2"/>
      <c r="I174" s="2"/>
    </row>
    <row r="175" spans="1:9" s="3" customFormat="1" ht="15">
      <c r="A175" s="2"/>
      <c r="B175" s="1"/>
      <c r="C175" s="7" t="str">
        <f>"(B.)"&amp;E173</f>
        <v>(B.)外形或顏色。</v>
      </c>
      <c r="D175" s="2"/>
      <c r="E175" s="2"/>
      <c r="F175" s="2"/>
      <c r="G175" s="2"/>
      <c r="H175" s="2"/>
      <c r="I175" s="2"/>
    </row>
    <row r="176" spans="1:9" s="3" customFormat="1" ht="15">
      <c r="A176" s="2"/>
      <c r="B176" s="2"/>
      <c r="C176" s="7" t="str">
        <f>"(C.)"&amp;F173</f>
        <v>(C.)方向或速度。</v>
      </c>
      <c r="D176" s="2"/>
      <c r="E176" s="2"/>
      <c r="F176" s="2"/>
      <c r="G176" s="2"/>
      <c r="H176" s="2"/>
      <c r="I176" s="2"/>
    </row>
    <row r="177" spans="1:9" s="3" customFormat="1" ht="15">
      <c r="A177" s="2"/>
      <c r="B177" s="2"/>
      <c r="C177" s="7" t="str">
        <f>"(D.)"&amp;G173</f>
        <v>(D.)翼展與翼弦。</v>
      </c>
      <c r="D177" s="2"/>
      <c r="E177" s="2"/>
      <c r="F177" s="2"/>
      <c r="G177" s="2"/>
      <c r="H177" s="2"/>
      <c r="I177" s="2"/>
    </row>
    <row r="178" spans="1:9" s="3" customFormat="1" ht="15">
      <c r="A178" s="2"/>
      <c r="B178" s="2"/>
      <c r="C178" s="7" t="str">
        <f>"答案是： "&amp;IF(H173="A.",C174,IF(H173="B.",C175,IF(H173="C.",C176,IF(H173=("D."),C177,"XXXX"))))</f>
        <v>答案是： (C.)方向或速度。</v>
      </c>
      <c r="D178" s="2"/>
      <c r="E178" s="2"/>
      <c r="F178" s="2"/>
      <c r="G178" s="2"/>
      <c r="H178" s="2"/>
      <c r="I178" s="2"/>
    </row>
    <row r="179" spans="1:9" s="3" customFormat="1" ht="75">
      <c r="A179" s="2"/>
      <c r="B179" s="2"/>
      <c r="C179" s="7" t="str">
        <f>"說明："&amp;I173</f>
        <v>說明：操作人只要在遙控設備上施加桿力，就可改變遙控無人機的方向或速度。透過推拉遙控桿，系統會控制無人機的各個操縱面（如多軸馬達轉速或定翼機的副翼、升降舵等），進而達成滾轉、俯仰、偏航及油門的變換。</v>
      </c>
      <c r="D179" s="2"/>
      <c r="E179" s="2"/>
      <c r="F179" s="2"/>
      <c r="G179" s="2"/>
      <c r="H179" s="2"/>
      <c r="I179" s="2"/>
    </row>
    <row r="180" spans="1:9" s="3" customFormat="1" ht="60">
      <c r="A180" s="4" t="str">
        <f>dB題庫!A33</f>
        <v>32</v>
      </c>
      <c r="B180" s="4" t="str">
        <f>dB題庫!B33</f>
        <v>若無人飛機在地面上靜止,依牛頓運動定律,下列哪個特性會使得飛機保持靜止</v>
      </c>
      <c r="C180" s="4" t="str">
        <f>A180&amp;"."&amp;B180</f>
        <v>32.若無人飛機在地面上靜止,依牛頓運動定律,下列哪個特性會使得飛機保持靜止</v>
      </c>
      <c r="D180" s="4" t="str">
        <f>dB題庫!C33</f>
        <v>慣性。</v>
      </c>
      <c r="E180" s="4" t="str">
        <f>dB題庫!D33</f>
        <v>磁性。</v>
      </c>
      <c r="F180" s="4" t="str">
        <f>dB題庫!E33</f>
        <v>氣壓。</v>
      </c>
      <c r="G180" s="4" t="str">
        <f>dB題庫!F33</f>
        <v>空氣濕度。</v>
      </c>
      <c r="H180" s="4" t="str">
        <f>dB題庫!G33</f>
        <v>A.</v>
      </c>
      <c r="I180" s="4" t="str">
        <f>dB題庫!H33</f>
        <v>使得無人飛機保持靜止的特性為(A.) 慣性。
根據牛頓第一運動定律（慣性定律），物體具有保持原來靜止或等速直線運動狀態的特性。當無人飛機在地面上處於靜止狀態，且不受外力（或所受合外力為零）時，慣性會使其維持靜止不動。</v>
      </c>
    </row>
    <row r="181" spans="1:9" s="3" customFormat="1" ht="15">
      <c r="A181" s="2" t="s">
        <v>114</v>
      </c>
      <c r="B181" s="1"/>
      <c r="C181" s="7" t="str">
        <f>"(A.)"&amp;D180</f>
        <v>(A.)慣性。</v>
      </c>
      <c r="D181" s="2"/>
      <c r="E181" s="2"/>
      <c r="F181" s="2"/>
      <c r="G181" s="2"/>
      <c r="H181" s="2"/>
      <c r="I181" s="2"/>
    </row>
    <row r="182" spans="1:9" s="3" customFormat="1" ht="15">
      <c r="A182" s="2"/>
      <c r="B182" s="1"/>
      <c r="C182" s="7" t="str">
        <f>"(B.)"&amp;E180</f>
        <v>(B.)磁性。</v>
      </c>
      <c r="D182" s="2"/>
      <c r="E182" s="2"/>
      <c r="F182" s="2"/>
      <c r="G182" s="2"/>
      <c r="H182" s="2"/>
      <c r="I182" s="2"/>
    </row>
    <row r="183" spans="1:9" s="3" customFormat="1" ht="15">
      <c r="A183" s="2"/>
      <c r="B183" s="2"/>
      <c r="C183" s="7" t="str">
        <f>"(C.)"&amp;F180</f>
        <v>(C.)氣壓。</v>
      </c>
      <c r="D183" s="2"/>
      <c r="E183" s="2"/>
      <c r="F183" s="2"/>
      <c r="G183" s="2"/>
      <c r="H183" s="2"/>
      <c r="I183" s="2"/>
    </row>
    <row r="184" spans="1:9" s="3" customFormat="1" ht="15">
      <c r="A184" s="2"/>
      <c r="B184" s="2"/>
      <c r="C184" s="7" t="str">
        <f>"(D.)"&amp;G180</f>
        <v>(D.)空氣濕度。</v>
      </c>
      <c r="D184" s="2"/>
      <c r="E184" s="2"/>
      <c r="F184" s="2"/>
      <c r="G184" s="2"/>
      <c r="H184" s="2"/>
      <c r="I184" s="2"/>
    </row>
    <row r="185" spans="1:9" s="3" customFormat="1" ht="15">
      <c r="A185" s="2"/>
      <c r="B185" s="2"/>
      <c r="C185" s="7" t="str">
        <f>"答案是： "&amp;IF(H180="A.",C181,IF(H180="B.",C182,IF(H180="C.",C183,IF(H180=("D."),C184,"XXXX"))))</f>
        <v>答案是： (A.)慣性。</v>
      </c>
      <c r="D185" s="2"/>
      <c r="E185" s="2"/>
      <c r="F185" s="2"/>
      <c r="G185" s="2"/>
      <c r="H185" s="2"/>
      <c r="I185" s="2"/>
    </row>
    <row r="186" spans="1:9" s="3" customFormat="1" ht="105">
      <c r="A186" s="2"/>
      <c r="B186" s="2"/>
      <c r="C186" s="7" t="str">
        <f>"說明："&amp;I180</f>
        <v>說明：使得無人飛機保持靜止的特性為(A.) 慣性。
根據牛頓第一運動定律（慣性定律），物體具有保持原來靜止或等速直線運動狀態的特性。當無人飛機在地面上處於靜止狀態，且不受外力（或所受合外力為零）時，慣性會使其維持靜止不動。</v>
      </c>
      <c r="D186" s="2"/>
      <c r="E186" s="2"/>
      <c r="F186" s="2"/>
      <c r="G186" s="2"/>
      <c r="H186" s="2"/>
      <c r="I186" s="2"/>
    </row>
    <row r="187" spans="1:9" s="3" customFormat="1" ht="60">
      <c r="A187" s="4" t="str">
        <f>dB題庫!A34</f>
        <v>33</v>
      </c>
      <c r="B187" s="4" t="str">
        <f>dB題庫!B34</f>
        <v>若無人飛機保持固定的空速以直線行進,依牛頓運動定律,下列哪個特性會使得飛機持續保持穩定的直線飛行</v>
      </c>
      <c r="C187" s="4" t="str">
        <f>A187&amp;"."&amp;B187</f>
        <v>33.若無人飛機保持固定的空速以直線行進,依牛頓運動定律,下列哪個特性會使得飛機持續保持穩定的直線飛行</v>
      </c>
      <c r="D187" s="4" t="str">
        <f>dB題庫!C34</f>
        <v>磁性。</v>
      </c>
      <c r="E187" s="4" t="str">
        <f>dB題庫!D34</f>
        <v>氣壓。</v>
      </c>
      <c r="F187" s="4" t="str">
        <f>dB題庫!E34</f>
        <v>慣性。</v>
      </c>
      <c r="G187" s="4" t="str">
        <f>dB題庫!F34</f>
        <v>空氣濕度。</v>
      </c>
      <c r="H187" s="4" t="str">
        <f>dB題庫!G34</f>
        <v>C.</v>
      </c>
      <c r="I187" s="4" t="str">
        <f>dB題庫!H34</f>
        <v>使得無人飛機保持固定的空速以直線行進的特性為(A.) 慣性。
依據牛頓第一運動定律（慣性定律），物體在不受外力或所受合力為零時，會保持原有的運動狀態。因此，若飛機保持固定的空速以直線行進，其慣性會抵抗外界的干擾，使得飛機持續保持穩定的直線飛行狀態。</v>
      </c>
    </row>
    <row r="188" spans="1:9" s="3" customFormat="1" ht="15">
      <c r="A188" s="2" t="s">
        <v>114</v>
      </c>
      <c r="B188" s="1"/>
      <c r="C188" s="7" t="str">
        <f>"(A.)"&amp;D187</f>
        <v>(A.)磁性。</v>
      </c>
      <c r="D188" s="2"/>
      <c r="E188" s="2"/>
      <c r="F188" s="2"/>
      <c r="G188" s="2"/>
      <c r="H188" s="2"/>
      <c r="I188" s="2"/>
    </row>
    <row r="189" spans="1:9" s="3" customFormat="1" ht="15">
      <c r="A189" s="2"/>
      <c r="B189" s="1"/>
      <c r="C189" s="7" t="str">
        <f>"(B.)"&amp;E187</f>
        <v>(B.)氣壓。</v>
      </c>
      <c r="D189" s="2"/>
      <c r="E189" s="2"/>
      <c r="F189" s="2"/>
      <c r="G189" s="2"/>
      <c r="H189" s="2"/>
      <c r="I189" s="2"/>
    </row>
    <row r="190" spans="1:9" s="3" customFormat="1" ht="15">
      <c r="A190" s="2"/>
      <c r="B190" s="2"/>
      <c r="C190" s="7" t="str">
        <f>"(C.)"&amp;F187</f>
        <v>(C.)慣性。</v>
      </c>
      <c r="D190" s="2"/>
      <c r="E190" s="2"/>
      <c r="F190" s="2"/>
      <c r="G190" s="2"/>
      <c r="H190" s="2"/>
      <c r="I190" s="2"/>
    </row>
    <row r="191" spans="1:9" s="3" customFormat="1" ht="15">
      <c r="A191" s="2"/>
      <c r="B191" s="2"/>
      <c r="C191" s="7" t="str">
        <f>"(D.)"&amp;G187</f>
        <v>(D.)空氣濕度。</v>
      </c>
      <c r="D191" s="2"/>
      <c r="E191" s="2"/>
      <c r="F191" s="2"/>
      <c r="G191" s="2"/>
      <c r="H191" s="2"/>
      <c r="I191" s="2"/>
    </row>
    <row r="192" spans="1:9" s="3" customFormat="1" ht="15">
      <c r="A192" s="2"/>
      <c r="B192" s="2"/>
      <c r="C192" s="7" t="str">
        <f>"答案是： "&amp;IF(H187="A.",C188,IF(H187="B.",C189,IF(H187="C.",C190,IF(H187=("D."),C191,"XXXX"))))</f>
        <v>答案是： (C.)慣性。</v>
      </c>
      <c r="D192" s="2"/>
      <c r="E192" s="2"/>
      <c r="F192" s="2"/>
      <c r="G192" s="2"/>
      <c r="H192" s="2"/>
      <c r="I192" s="2"/>
    </row>
    <row r="193" spans="1:9" s="3" customFormat="1" ht="105">
      <c r="A193" s="2"/>
      <c r="B193" s="2"/>
      <c r="C193" s="7" t="str">
        <f>"說明："&amp;I187</f>
        <v>說明：使得無人飛機保持固定的空速以直線行進的特性為(A.) 慣性。
依據牛頓第一運動定律（慣性定律），物體在不受外力或所受合力為零時，會保持原有的運動狀態。因此，若飛機保持固定的空速以直線行進，其慣性會抵抗外界的干擾，使得飛機持續保持穩定的直線飛行狀態。</v>
      </c>
      <c r="D193" s="2"/>
      <c r="E193" s="2"/>
      <c r="F193" s="2"/>
      <c r="G193" s="2"/>
      <c r="H193" s="2"/>
      <c r="I193" s="2"/>
    </row>
    <row r="194" spans="1:9" s="3" customFormat="1" ht="45">
      <c r="A194" s="4" t="str">
        <f>dB題庫!A35</f>
        <v>34</v>
      </c>
      <c r="B194" s="4" t="str">
        <f>dB題庫!B35</f>
        <v>無人飛機於頂風飛行時,地面速度就會有下列哪種變化</v>
      </c>
      <c r="C194" s="4" t="str">
        <f>A194&amp;"."&amp;B194</f>
        <v>34.無人飛機於頂風飛行時,地面速度就會有下列哪種變化</v>
      </c>
      <c r="D194" s="4" t="str">
        <f>dB題庫!C35</f>
        <v>變快。</v>
      </c>
      <c r="E194" s="4" t="str">
        <f>dB題庫!D35</f>
        <v>不變。</v>
      </c>
      <c r="F194" s="4" t="str">
        <f>dB題庫!E35</f>
        <v>變慢。</v>
      </c>
      <c r="G194" s="4" t="str">
        <f>dB題庫!F35</f>
        <v>以上皆非。</v>
      </c>
      <c r="H194" s="4" t="str">
        <f>dB題庫!G35</f>
        <v>C.</v>
      </c>
      <c r="I194" s="4" t="str">
        <f>dB題庫!H35</f>
        <v>根據牛頓第一運動定律(慣性定律)，物體若不受外力或合力為零，靜止者恆靜止，運動者恆作等速度直線飛行。頂風(逆風)飛行時，由於空氣對流速度增加，地速(相對於地面的速度)會變慢。</v>
      </c>
    </row>
    <row r="195" spans="1:9" s="3" customFormat="1" ht="15">
      <c r="A195" s="2" t="s">
        <v>114</v>
      </c>
      <c r="B195" s="1"/>
      <c r="C195" s="7" t="str">
        <f>"(A.)"&amp;D194</f>
        <v>(A.)變快。</v>
      </c>
      <c r="D195" s="2"/>
      <c r="E195" s="2"/>
      <c r="F195" s="2"/>
      <c r="G195" s="2"/>
      <c r="H195" s="2"/>
      <c r="I195" s="2"/>
    </row>
    <row r="196" spans="1:9" s="3" customFormat="1" ht="15">
      <c r="A196" s="2"/>
      <c r="B196" s="1"/>
      <c r="C196" s="7" t="str">
        <f>"(B.)"&amp;E194</f>
        <v>(B.)不變。</v>
      </c>
      <c r="D196" s="2"/>
      <c r="E196" s="2"/>
      <c r="F196" s="2"/>
      <c r="G196" s="2"/>
      <c r="H196" s="2"/>
      <c r="I196" s="2"/>
    </row>
    <row r="197" spans="1:9" s="3" customFormat="1" ht="15">
      <c r="A197" s="2"/>
      <c r="B197" s="2"/>
      <c r="C197" s="7" t="str">
        <f>"(C.)"&amp;F194</f>
        <v>(C.)變慢。</v>
      </c>
      <c r="D197" s="2"/>
      <c r="E197" s="2"/>
      <c r="F197" s="2"/>
      <c r="G197" s="2"/>
      <c r="H197" s="2"/>
      <c r="I197" s="2"/>
    </row>
    <row r="198" spans="1:9" s="3" customFormat="1" ht="15">
      <c r="A198" s="2"/>
      <c r="B198" s="2"/>
      <c r="C198" s="7" t="str">
        <f>"(D.)"&amp;G194</f>
        <v>(D.)以上皆非。</v>
      </c>
      <c r="D198" s="2"/>
      <c r="E198" s="2"/>
      <c r="F198" s="2"/>
      <c r="G198" s="2"/>
      <c r="H198" s="2"/>
      <c r="I198" s="2"/>
    </row>
    <row r="199" spans="1:9" s="3" customFormat="1" ht="15">
      <c r="A199" s="2"/>
      <c r="B199" s="2"/>
      <c r="C199" s="7" t="str">
        <f>"答案是： "&amp;IF(H194="A.",C195,IF(H194="B.",C196,IF(H194="C.",C197,IF(H194=("D."),C198,"XXXX"))))</f>
        <v>答案是： (C.)變慢。</v>
      </c>
      <c r="D199" s="2"/>
      <c r="E199" s="2"/>
      <c r="F199" s="2"/>
      <c r="G199" s="2"/>
      <c r="H199" s="2"/>
      <c r="I199" s="2"/>
    </row>
    <row r="200" spans="1:9" s="3" customFormat="1" ht="75">
      <c r="A200" s="2"/>
      <c r="B200" s="2"/>
      <c r="C200" s="7" t="str">
        <f>"說明："&amp;I194</f>
        <v>說明：根據牛頓第一運動定律(慣性定律)，物體若不受外力或合力為零，靜止者恆靜止，運動者恆作等速度直線飛行。頂風(逆風)飛行時，由於空氣對流速度增加，地速(相對於地面的速度)會變慢。</v>
      </c>
      <c r="D200" s="2"/>
      <c r="E200" s="2"/>
      <c r="F200" s="2"/>
      <c r="G200" s="2"/>
      <c r="H200" s="2"/>
      <c r="I200" s="2"/>
    </row>
    <row r="201" spans="1:9" s="3" customFormat="1" ht="45">
      <c r="A201" s="4" t="str">
        <f>dB題庫!A36</f>
        <v>35</v>
      </c>
      <c r="B201" s="4" t="str">
        <f>dB題庫!B36</f>
        <v>若風從無人飛機前方的任一方向吹來,倘若飛行員沒有隨之修正,那下列哪個特性就會受到風所施加的力而改變</v>
      </c>
      <c r="C201" s="4" t="str">
        <f>A201&amp;"."&amp;B201</f>
        <v>35.若風從無人飛機前方的任一方向吹來,倘若飛行員沒有隨之修正,那下列哪個特性就會受到風所施加的力而改變</v>
      </c>
      <c r="D201" s="4" t="str">
        <f>dB題庫!C36</f>
        <v>重量。</v>
      </c>
      <c r="E201" s="4" t="str">
        <f>dB題庫!D36</f>
        <v>重心。</v>
      </c>
      <c r="F201" s="4" t="str">
        <f>dB題庫!E36</f>
        <v>航向。</v>
      </c>
      <c r="G201" s="4" t="str">
        <f>dB題庫!F36</f>
        <v>推力。</v>
      </c>
      <c r="H201" s="4" t="str">
        <f>dB題庫!G36</f>
        <v>C.</v>
      </c>
      <c r="I201" s="4" t="str">
        <f>dB題庫!H36</f>
        <v>無人飛機飛行時，若風從無人飛機前方的任一方向（如側風或陣風）吹來，一旦風力對機身產生作用，飛行員若沒有隨之操作修正，飛機的航向就會受到外力影響而偏移。</v>
      </c>
    </row>
    <row r="202" spans="1:9" s="3" customFormat="1" ht="15">
      <c r="A202" s="2" t="s">
        <v>114</v>
      </c>
      <c r="B202" s="1"/>
      <c r="C202" s="7" t="str">
        <f>"(A.)"&amp;D201</f>
        <v>(A.)重量。</v>
      </c>
      <c r="D202" s="2"/>
      <c r="E202" s="2"/>
      <c r="F202" s="2"/>
      <c r="G202" s="2"/>
      <c r="H202" s="2"/>
      <c r="I202" s="2"/>
    </row>
    <row r="203" spans="1:9" s="3" customFormat="1" ht="15">
      <c r="A203" s="2"/>
      <c r="B203" s="1"/>
      <c r="C203" s="7" t="str">
        <f>"(B.)"&amp;E201</f>
        <v>(B.)重心。</v>
      </c>
      <c r="D203" s="2"/>
      <c r="E203" s="2"/>
      <c r="F203" s="2"/>
      <c r="G203" s="2"/>
      <c r="H203" s="2"/>
      <c r="I203" s="2"/>
    </row>
    <row r="204" spans="1:9" s="3" customFormat="1" ht="15">
      <c r="A204" s="2"/>
      <c r="B204" s="2"/>
      <c r="C204" s="7" t="str">
        <f>"(C.)"&amp;F201</f>
        <v>(C.)航向。</v>
      </c>
      <c r="D204" s="2"/>
      <c r="E204" s="2"/>
      <c r="F204" s="2"/>
      <c r="G204" s="2"/>
      <c r="H204" s="2"/>
      <c r="I204" s="2"/>
    </row>
    <row r="205" spans="1:9" s="3" customFormat="1" ht="15">
      <c r="A205" s="2"/>
      <c r="B205" s="2"/>
      <c r="C205" s="7" t="str">
        <f>"(D.)"&amp;G201</f>
        <v>(D.)推力。</v>
      </c>
      <c r="D205" s="2"/>
      <c r="E205" s="2"/>
      <c r="F205" s="2"/>
      <c r="G205" s="2"/>
      <c r="H205" s="2"/>
      <c r="I205" s="2"/>
    </row>
    <row r="206" spans="1:9" s="3" customFormat="1" ht="15">
      <c r="A206" s="2"/>
      <c r="B206" s="2"/>
      <c r="C206" s="7" t="str">
        <f>"答案是： "&amp;IF(H201="A.",C202,IF(H201="B.",C203,IF(H201="C.",C204,IF(H201=("D."),C205,"XXXX"))))</f>
        <v>答案是： (C.)航向。</v>
      </c>
      <c r="D206" s="2"/>
      <c r="E206" s="2"/>
      <c r="F206" s="2"/>
      <c r="G206" s="2"/>
      <c r="H206" s="2"/>
      <c r="I206" s="2"/>
    </row>
    <row r="207" spans="1:9" s="3" customFormat="1" ht="60">
      <c r="A207" s="2"/>
      <c r="B207" s="2"/>
      <c r="C207" s="7" t="str">
        <f>"說明："&amp;I201</f>
        <v>說明：無人飛機飛行時，若風從無人飛機前方的任一方向（如側風或陣風）吹來，一旦風力對機身產生作用，飛行員若沒有隨之操作修正，飛機的航向就會受到外力影響而偏移。</v>
      </c>
      <c r="D207" s="2"/>
      <c r="E207" s="2"/>
      <c r="F207" s="2"/>
      <c r="G207" s="2"/>
      <c r="H207" s="2"/>
      <c r="I207" s="2"/>
    </row>
    <row r="208" spans="1:9" s="3" customFormat="1" ht="45">
      <c r="A208" s="4" t="str">
        <f>dB題庫!A37</f>
        <v>36</v>
      </c>
      <c r="B208" s="4" t="str">
        <f>dB題庫!B37</f>
        <v>噴射機將燃燒的熱氣體往後推送以施加作用力,相對的有相等且相反的下列哪種力,將飛機往前推進</v>
      </c>
      <c r="C208" s="4" t="str">
        <f>A208&amp;"."&amp;B208</f>
        <v>36.噴射機將燃燒的熱氣體往後推送以施加作用力,相對的有相等且相反的下列哪種力,將飛機往前推進</v>
      </c>
      <c r="D208" s="4" t="str">
        <f>dB題庫!C37</f>
        <v>反作用力。</v>
      </c>
      <c r="E208" s="4" t="str">
        <f>dB題庫!D37</f>
        <v>摩擦力。</v>
      </c>
      <c r="F208" s="4" t="str">
        <f>dB題庫!E37</f>
        <v>靜電力。</v>
      </c>
      <c r="G208" s="4" t="str">
        <f>dB題庫!F37</f>
        <v>磁力。</v>
      </c>
      <c r="H208" s="4" t="str">
        <f>dB題庫!G37</f>
        <v>A.</v>
      </c>
      <c r="I208" s="4" t="str">
        <f>dB題庫!H37</f>
        <v>此推力為(A.) 反作用力。根據牛頓第三運動定律（作用力與反作用力定律），當噴射機將燃燒的熱氣體向後推送（作用力）時，這些氣體也會同時對飛機施加一個大小相等、方向相反的反作用力，進而推動飛機向前飛行。</v>
      </c>
    </row>
    <row r="209" spans="1:9" s="3" customFormat="1" ht="15">
      <c r="A209" s="2" t="s">
        <v>114</v>
      </c>
      <c r="B209" s="1"/>
      <c r="C209" s="7" t="str">
        <f>"(A.)"&amp;D208</f>
        <v>(A.)反作用力。</v>
      </c>
      <c r="D209" s="2"/>
      <c r="E209" s="2"/>
      <c r="F209" s="2"/>
      <c r="G209" s="2"/>
      <c r="H209" s="2"/>
      <c r="I209" s="2"/>
    </row>
    <row r="210" spans="1:9" s="3" customFormat="1" ht="15">
      <c r="A210" s="2"/>
      <c r="B210" s="1"/>
      <c r="C210" s="7" t="str">
        <f>"(B.)"&amp;E208</f>
        <v>(B.)摩擦力。</v>
      </c>
      <c r="D210" s="2"/>
      <c r="E210" s="2"/>
      <c r="F210" s="2"/>
      <c r="G210" s="2"/>
      <c r="H210" s="2"/>
      <c r="I210" s="2"/>
    </row>
    <row r="211" spans="1:9" s="3" customFormat="1" ht="15">
      <c r="A211" s="2"/>
      <c r="B211" s="2"/>
      <c r="C211" s="7" t="str">
        <f>"(C.)"&amp;F208</f>
        <v>(C.)靜電力。</v>
      </c>
      <c r="D211" s="2"/>
      <c r="E211" s="2"/>
      <c r="F211" s="2"/>
      <c r="G211" s="2"/>
      <c r="H211" s="2"/>
      <c r="I211" s="2"/>
    </row>
    <row r="212" spans="1:9" s="3" customFormat="1" ht="15">
      <c r="A212" s="2"/>
      <c r="B212" s="2"/>
      <c r="C212" s="7" t="str">
        <f>"(D.)"&amp;G208</f>
        <v>(D.)磁力。</v>
      </c>
      <c r="D212" s="2"/>
      <c r="E212" s="2"/>
      <c r="F212" s="2"/>
      <c r="G212" s="2"/>
      <c r="H212" s="2"/>
      <c r="I212" s="2"/>
    </row>
    <row r="213" spans="1:9" s="3" customFormat="1" ht="15">
      <c r="A213" s="2"/>
      <c r="B213" s="2"/>
      <c r="C213" s="7" t="str">
        <f>"答案是： "&amp;IF(H208="A.",C209,IF(H208="B.",C210,IF(H208="C.",C211,IF(H208=("D."),C212,"XXXX"))))</f>
        <v>答案是： (A.)反作用力。</v>
      </c>
      <c r="D213" s="2"/>
      <c r="E213" s="2"/>
      <c r="F213" s="2"/>
      <c r="G213" s="2"/>
      <c r="H213" s="2"/>
      <c r="I213" s="2"/>
    </row>
    <row r="214" spans="1:9" s="3" customFormat="1" ht="75">
      <c r="A214" s="2"/>
      <c r="B214" s="2"/>
      <c r="C214" s="7" t="str">
        <f>"說明："&amp;I208</f>
        <v>說明：此推力為(A.) 反作用力。根據牛頓第三運動定律（作用力與反作用力定律），當噴射機將燃燒的熱氣體向後推送（作用力）時，這些氣體也會同時對飛機施加一個大小相等、方向相反的反作用力，進而推動飛機向前飛行。</v>
      </c>
      <c r="D214" s="2"/>
      <c r="E214" s="2"/>
      <c r="F214" s="2"/>
      <c r="G214" s="2"/>
      <c r="H214" s="2"/>
      <c r="I214" s="2"/>
    </row>
    <row r="215" spans="1:9" s="3" customFormat="1" ht="120">
      <c r="A215" s="4" t="str">
        <f>dB題庫!A38</f>
        <v>37</v>
      </c>
      <c r="B215" s="4" t="str">
        <f>dB題庫!B38</f>
        <v>遙控無人機在空中飛行時,會受到下列哪些力相互作用的影響</v>
      </c>
      <c r="C215" s="4" t="str">
        <f>A215&amp;"."&amp;B215</f>
        <v>37.遙控無人機在空中飛行時,會受到下列哪些力相互作用的影響</v>
      </c>
      <c r="D215" s="4" t="str">
        <f>dB題庫!C38</f>
        <v>升力、推力。</v>
      </c>
      <c r="E215" s="4" t="str">
        <f>dB題庫!D38</f>
        <v>推力、阻力。</v>
      </c>
      <c r="F215" s="4" t="str">
        <f>dB題庫!E38</f>
        <v>阻力、重力。</v>
      </c>
      <c r="G215" s="4" t="str">
        <f>dB題庫!F38</f>
        <v>以上皆死。</v>
      </c>
      <c r="H215" s="4" t="str">
        <f>dB題庫!G38</f>
        <v>D.</v>
      </c>
      <c r="I215" s="4" t="str">
        <f>dB題庫!H38</f>
        <v>遙控無人機在空中飛行時，主要會受到升力、推力、阻力與重力這四種基本作用力的影響。這四力處於相互平衡或拉扯的狀態，決定了無人機的飛行姿態：
第1.升力 (Lift)：由旋翼或機翼提供，方向向上，用來克服機體重量，使無人機升空。
第2.推力 (Thrust)：由動力系統（發動機與螺旋槳）提供，方向向前，用來推動無人機前進。
第3.阻力 (Drag)：由空氣產生，方向向後，會阻礙無人機的前進。
第4.重力 (Gravity)：由地心引力產生，方向向下，將無人機拉向地面。</v>
      </c>
    </row>
    <row r="216" spans="1:9" s="3" customFormat="1" ht="15">
      <c r="A216" s="2" t="s">
        <v>114</v>
      </c>
      <c r="B216" s="1"/>
      <c r="C216" s="7" t="str">
        <f>"(A.)"&amp;D215</f>
        <v>(A.)升力、推力。</v>
      </c>
      <c r="D216" s="2"/>
      <c r="E216" s="2"/>
      <c r="F216" s="2"/>
      <c r="G216" s="2"/>
      <c r="H216" s="2"/>
      <c r="I216" s="2"/>
    </row>
    <row r="217" spans="1:9" s="3" customFormat="1" ht="15">
      <c r="A217" s="2"/>
      <c r="B217" s="1"/>
      <c r="C217" s="7" t="str">
        <f>"(B.)"&amp;E215</f>
        <v>(B.)推力、阻力。</v>
      </c>
      <c r="D217" s="2"/>
      <c r="E217" s="2"/>
      <c r="F217" s="2"/>
      <c r="G217" s="2"/>
      <c r="H217" s="2"/>
      <c r="I217" s="2"/>
    </row>
    <row r="218" spans="1:9" s="3" customFormat="1" ht="15">
      <c r="A218" s="2"/>
      <c r="B218" s="2"/>
      <c r="C218" s="7" t="str">
        <f>"(C.)"&amp;F215</f>
        <v>(C.)阻力、重力。</v>
      </c>
      <c r="D218" s="2"/>
      <c r="E218" s="2"/>
      <c r="F218" s="2"/>
      <c r="G218" s="2"/>
      <c r="H218" s="2"/>
      <c r="I218" s="2"/>
    </row>
    <row r="219" spans="1:9" s="3" customFormat="1" ht="15">
      <c r="A219" s="2"/>
      <c r="B219" s="2"/>
      <c r="C219" s="7" t="str">
        <f>"(D.)"&amp;G215</f>
        <v>(D.)以上皆死。</v>
      </c>
      <c r="D219" s="2"/>
      <c r="E219" s="2"/>
      <c r="F219" s="2"/>
      <c r="G219" s="2"/>
      <c r="H219" s="2"/>
      <c r="I219" s="2"/>
    </row>
    <row r="220" spans="1:9" s="3" customFormat="1" ht="15">
      <c r="A220" s="2"/>
      <c r="B220" s="2"/>
      <c r="C220" s="7" t="str">
        <f>"答案是： "&amp;IF(H215="A.",C216,IF(H215="B.",C217,IF(H215="C.",C218,IF(H215=("D."),C219,"XXXX"))))</f>
        <v>答案是： (D.)以上皆死。</v>
      </c>
      <c r="D220" s="2"/>
      <c r="E220" s="2"/>
      <c r="F220" s="2"/>
      <c r="G220" s="2"/>
      <c r="H220" s="2"/>
      <c r="I220" s="2"/>
    </row>
    <row r="221" spans="1:9" s="3" customFormat="1" ht="180">
      <c r="A221" s="2"/>
      <c r="B221" s="2"/>
      <c r="C221" s="7" t="str">
        <f>"說明："&amp;I215</f>
        <v>說明：遙控無人機在空中飛行時，主要會受到升力、推力、阻力與重力這四種基本作用力的影響。這四力處於相互平衡或拉扯的狀態，決定了無人機的飛行姿態：
第1.升力 (Lift)：由旋翼或機翼提供，方向向上，用來克服機體重量，使無人機升空。
第2.推力 (Thrust)：由動力系統（發動機與螺旋槳）提供，方向向前，用來推動無人機前進。
第3.阻力 (Drag)：由空氣產生，方向向後，會阻礙無人機的前進。
第4.重力 (Gravity)：由地心引力產生，方向向下，將無人機拉向地面。</v>
      </c>
      <c r="D221" s="2"/>
      <c r="E221" s="2"/>
      <c r="F221" s="2"/>
      <c r="G221" s="2"/>
      <c r="H221" s="2"/>
      <c r="I221" s="2"/>
    </row>
    <row r="222" spans="1:9" s="3" customFormat="1" ht="30">
      <c r="A222" s="4" t="str">
        <f>dB題庫!A39</f>
        <v>38</v>
      </c>
      <c r="B222" s="4" t="str">
        <f>dB題庫!B39</f>
        <v>無人飛機推力由下列哪個組件提供</v>
      </c>
      <c r="C222" s="4" t="str">
        <f>A222&amp;"."&amp;B222</f>
        <v>38.無人飛機推力由下列哪個組件提供</v>
      </c>
      <c r="D222" s="4" t="str">
        <f>dB題庫!C39</f>
        <v>發動機。</v>
      </c>
      <c r="E222" s="4" t="str">
        <f>dB題庫!D39</f>
        <v>起落架。</v>
      </c>
      <c r="F222" s="4" t="str">
        <f>dB題庫!E39</f>
        <v>機翼。</v>
      </c>
      <c r="G222" s="4" t="str">
        <f>dB題庫!F39</f>
        <v>機身。</v>
      </c>
      <c r="H222" s="4" t="str">
        <f>dB題庫!G39</f>
        <v>A.</v>
      </c>
      <c r="I222" s="4" t="str">
        <f>dB題庫!H39</f>
        <v>無人飛機的推力是由發動機（動力系統）提供的。發動機帶動螺旋槳或產生噴射氣流，提供使飛機向前飛行所需的推進力。</v>
      </c>
    </row>
    <row r="223" spans="1:9" s="3" customFormat="1" ht="15">
      <c r="A223" s="2" t="s">
        <v>114</v>
      </c>
      <c r="B223" s="1"/>
      <c r="C223" s="7" t="str">
        <f>"(A.)"&amp;D222</f>
        <v>(A.)發動機。</v>
      </c>
      <c r="D223" s="2"/>
      <c r="E223" s="2"/>
      <c r="F223" s="2"/>
      <c r="G223" s="2"/>
      <c r="H223" s="2"/>
      <c r="I223" s="2"/>
    </row>
    <row r="224" spans="1:9" s="3" customFormat="1" ht="15">
      <c r="A224" s="2"/>
      <c r="B224" s="1"/>
      <c r="C224" s="7" t="str">
        <f>"(B.)"&amp;E222</f>
        <v>(B.)起落架。</v>
      </c>
      <c r="D224" s="2"/>
      <c r="E224" s="2"/>
      <c r="F224" s="2"/>
      <c r="G224" s="2"/>
      <c r="H224" s="2"/>
      <c r="I224" s="2"/>
    </row>
    <row r="225" spans="1:9" s="3" customFormat="1" ht="15">
      <c r="A225" s="2"/>
      <c r="B225" s="2"/>
      <c r="C225" s="7" t="str">
        <f>"(C.)"&amp;F222</f>
        <v>(C.)機翼。</v>
      </c>
      <c r="D225" s="2"/>
      <c r="E225" s="2"/>
      <c r="F225" s="2"/>
      <c r="G225" s="2"/>
      <c r="H225" s="2"/>
      <c r="I225" s="2"/>
    </row>
    <row r="226" spans="1:9" s="3" customFormat="1" ht="15">
      <c r="A226" s="2"/>
      <c r="B226" s="2"/>
      <c r="C226" s="7" t="str">
        <f>"(D.)"&amp;G222</f>
        <v>(D.)機身。</v>
      </c>
      <c r="D226" s="2"/>
      <c r="E226" s="2"/>
      <c r="F226" s="2"/>
      <c r="G226" s="2"/>
      <c r="H226" s="2"/>
      <c r="I226" s="2"/>
    </row>
    <row r="227" spans="1:9" s="3" customFormat="1" ht="15">
      <c r="A227" s="2"/>
      <c r="B227" s="2"/>
      <c r="C227" s="7" t="str">
        <f>"答案是： "&amp;IF(H222="A.",C223,IF(H222="B.",C224,IF(H222="C.",C225,IF(H222=("D."),C226,"XXXX"))))</f>
        <v>答案是： (A.)發動機。</v>
      </c>
      <c r="D227" s="2"/>
      <c r="E227" s="2"/>
      <c r="F227" s="2"/>
      <c r="G227" s="2"/>
      <c r="H227" s="2"/>
      <c r="I227" s="2"/>
    </row>
    <row r="228" spans="1:9" s="3" customFormat="1" ht="45">
      <c r="A228" s="2"/>
      <c r="B228" s="2"/>
      <c r="C228" s="7" t="str">
        <f>"說明："&amp;I222</f>
        <v>說明：無人飛機的推力是由發動機（動力系統）提供的。發動機帶動螺旋槳或產生噴射氣流，提供使飛機向前飛行所需的推進力。</v>
      </c>
      <c r="D228" s="2"/>
      <c r="E228" s="2"/>
      <c r="F228" s="2"/>
      <c r="G228" s="2"/>
      <c r="H228" s="2"/>
      <c r="I228" s="2"/>
    </row>
    <row r="229" spans="1:9" s="3" customFormat="1" ht="105">
      <c r="A229" s="4" t="str">
        <f>dB題庫!A40</f>
        <v>39</v>
      </c>
      <c r="B229" s="4" t="str">
        <f>dB題庫!B40</f>
        <v>無人飛機阻力由下列哪個項目產生</v>
      </c>
      <c r="C229" s="4" t="str">
        <f>A229&amp;"."&amp;B229</f>
        <v>39.無人飛機阻力由下列哪個項目產生</v>
      </c>
      <c r="D229" s="4" t="str">
        <f>dB題庫!C40</f>
        <v>地心引力。</v>
      </c>
      <c r="E229" s="4" t="str">
        <f>dB題庫!D40</f>
        <v>重心。</v>
      </c>
      <c r="F229" s="4" t="str">
        <f>dB題庫!E40</f>
        <v>空氣。</v>
      </c>
      <c r="G229" s="4" t="str">
        <f>dB題庫!F40</f>
        <v>發動機。</v>
      </c>
      <c r="H229" s="4" t="str">
        <f>dB題庫!G40</f>
        <v>C.</v>
      </c>
      <c r="I229" s="4" t="str">
        <f>dB題庫!H40</f>
        <v>無人飛機的阻力是由空氣產生的。
航空器在飛行時主要會受到四種力相互作用：升力、重力、推力和阻力。這四種力的來源分別為：
第1.阻力：由空氣產生，作為與飛機運動方向相反的空氣動力。
第2.升力：由機翼產生。
第3.推力：由發動機產生。
第4.重力：由地心引力產生。</v>
      </c>
    </row>
    <row r="230" spans="1:9" s="3" customFormat="1" ht="15">
      <c r="A230" s="2" t="s">
        <v>114</v>
      </c>
      <c r="B230" s="1"/>
      <c r="C230" s="7" t="str">
        <f>"(A.)"&amp;D229</f>
        <v>(A.)地心引力。</v>
      </c>
      <c r="D230" s="2"/>
      <c r="E230" s="2"/>
      <c r="F230" s="2"/>
      <c r="G230" s="2"/>
      <c r="H230" s="2"/>
      <c r="I230" s="2"/>
    </row>
    <row r="231" spans="1:9" s="3" customFormat="1" ht="15">
      <c r="A231" s="2"/>
      <c r="B231" s="1"/>
      <c r="C231" s="7" t="str">
        <f>"(B.)"&amp;E229</f>
        <v>(B.)重心。</v>
      </c>
      <c r="D231" s="2"/>
      <c r="E231" s="2"/>
      <c r="F231" s="2"/>
      <c r="G231" s="2"/>
      <c r="H231" s="2"/>
      <c r="I231" s="2"/>
    </row>
    <row r="232" spans="1:9" s="3" customFormat="1" ht="15">
      <c r="A232" s="2"/>
      <c r="B232" s="2"/>
      <c r="C232" s="7" t="str">
        <f>"(C.)"&amp;F229</f>
        <v>(C.)空氣。</v>
      </c>
      <c r="D232" s="2"/>
      <c r="E232" s="2"/>
      <c r="F232" s="2"/>
      <c r="G232" s="2"/>
      <c r="H232" s="2"/>
      <c r="I232" s="2"/>
    </row>
    <row r="233" spans="1:9" s="3" customFormat="1" ht="15">
      <c r="A233" s="2"/>
      <c r="B233" s="2"/>
      <c r="C233" s="7" t="str">
        <f>"(D.)"&amp;G229</f>
        <v>(D.)發動機。</v>
      </c>
      <c r="D233" s="2"/>
      <c r="E233" s="2"/>
      <c r="F233" s="2"/>
      <c r="G233" s="2"/>
      <c r="H233" s="2"/>
      <c r="I233" s="2"/>
    </row>
    <row r="234" spans="1:9" s="3" customFormat="1" ht="15">
      <c r="A234" s="2"/>
      <c r="B234" s="2"/>
      <c r="C234" s="7" t="str">
        <f>"答案是： "&amp;IF(H229="A.",C230,IF(H229="B.",C231,IF(H229="C.",C232,IF(H229=("D."),C233,"XXXX"))))</f>
        <v>答案是： (C.)空氣。</v>
      </c>
      <c r="D234" s="2"/>
      <c r="E234" s="2"/>
      <c r="F234" s="2"/>
      <c r="G234" s="2"/>
      <c r="H234" s="2"/>
      <c r="I234" s="2"/>
    </row>
    <row r="235" spans="1:9" s="3" customFormat="1" ht="135">
      <c r="A235" s="2"/>
      <c r="B235" s="2"/>
      <c r="C235" s="7" t="str">
        <f>"說明："&amp;I229</f>
        <v>說明：無人飛機的阻力是由空氣產生的。
航空器在飛行時主要會受到四種力相互作用：升力、重力、推力和阻力。這四種力的來源分別為：
第1.阻力：由空氣產生，作為與飛機運動方向相反的空氣動力。
第2.升力：由機翼產生。
第3.推力：由發動機產生。
第4.重力：由地心引力產生。</v>
      </c>
      <c r="D235" s="2"/>
      <c r="E235" s="2"/>
      <c r="F235" s="2"/>
      <c r="G235" s="2"/>
      <c r="H235" s="2"/>
      <c r="I235" s="2"/>
    </row>
    <row r="236" spans="1:9" s="3" customFormat="1" ht="60">
      <c r="A236" s="4" t="str">
        <f>dB題庫!A41</f>
        <v>40</v>
      </c>
      <c r="B236" s="4" t="str">
        <f>dB題庫!B41</f>
        <v>無人飛機升力由下列哪個項目提供</v>
      </c>
      <c r="C236" s="4" t="str">
        <f>A236&amp;"."&amp;B236</f>
        <v>40.無人飛機升力由下列哪個項目提供</v>
      </c>
      <c r="D236" s="4" t="str">
        <f>dB題庫!C41</f>
        <v>起落架。</v>
      </c>
      <c r="E236" s="4" t="str">
        <f>dB題庫!D41</f>
        <v>機翼。</v>
      </c>
      <c r="F236" s="4" t="str">
        <f>dB題庫!E41</f>
        <v>重心。</v>
      </c>
      <c r="G236" s="4" t="str">
        <f>dB題庫!F41</f>
        <v>地心引力。</v>
      </c>
      <c r="H236" s="4" t="str">
        <f>dB題庫!G41</f>
        <v>B.</v>
      </c>
      <c r="I236" s="4" t="str">
        <f>dB題庫!H41</f>
        <v>無人飛機的升力主要由機翼提供。根據交通部民用航空局的遙控無人機學科測驗規範，飛行中的無人機會受到升力、推力、阻力和重力四力交互作用，其中「升力」由機翼產生，「推力」由發動機提供，「阻力」來自空氣，而「重力」則由地心引力產生。</v>
      </c>
    </row>
    <row r="237" spans="1:9" s="3" customFormat="1" ht="15">
      <c r="A237" s="2" t="s">
        <v>114</v>
      </c>
      <c r="B237" s="1"/>
      <c r="C237" s="7" t="str">
        <f>"(A.)"&amp;D236</f>
        <v>(A.)起落架。</v>
      </c>
      <c r="D237" s="2"/>
      <c r="E237" s="2"/>
      <c r="F237" s="2"/>
      <c r="G237" s="2"/>
      <c r="H237" s="2"/>
      <c r="I237" s="2"/>
    </row>
    <row r="238" spans="1:9" s="3" customFormat="1" ht="15">
      <c r="A238" s="2"/>
      <c r="B238" s="1"/>
      <c r="C238" s="7" t="str">
        <f>"(B.)"&amp;E236</f>
        <v>(B.)機翼。</v>
      </c>
      <c r="D238" s="2"/>
      <c r="E238" s="2"/>
      <c r="F238" s="2"/>
      <c r="G238" s="2"/>
      <c r="H238" s="2"/>
      <c r="I238" s="2"/>
    </row>
    <row r="239" spans="1:9" s="3" customFormat="1" ht="15">
      <c r="A239" s="2"/>
      <c r="B239" s="2"/>
      <c r="C239" s="7" t="str">
        <f>"(C.)"&amp;F236</f>
        <v>(C.)重心。</v>
      </c>
      <c r="D239" s="2"/>
      <c r="E239" s="2"/>
      <c r="F239" s="2"/>
      <c r="G239" s="2"/>
      <c r="H239" s="2"/>
      <c r="I239" s="2"/>
    </row>
    <row r="240" spans="1:9" s="3" customFormat="1" ht="15">
      <c r="A240" s="2"/>
      <c r="B240" s="2"/>
      <c r="C240" s="7" t="str">
        <f>"(D.)"&amp;G236</f>
        <v>(D.)地心引力。</v>
      </c>
      <c r="D240" s="2"/>
      <c r="E240" s="2"/>
      <c r="F240" s="2"/>
      <c r="G240" s="2"/>
      <c r="H240" s="2"/>
      <c r="I240" s="2"/>
    </row>
    <row r="241" spans="1:9" s="3" customFormat="1" ht="15">
      <c r="A241" s="2"/>
      <c r="B241" s="2"/>
      <c r="C241" s="7" t="str">
        <f>"答案是： "&amp;IF(H236="A.",C237,IF(H236="B.",C238,IF(H236="C.",C239,IF(H236=("D."),C240,"XXXX"))))</f>
        <v>答案是： (B.)機翼。</v>
      </c>
      <c r="D241" s="2"/>
      <c r="E241" s="2"/>
      <c r="F241" s="2"/>
      <c r="G241" s="2"/>
      <c r="H241" s="2"/>
      <c r="I241" s="2"/>
    </row>
    <row r="242" spans="1:9" s="3" customFormat="1" ht="90">
      <c r="A242" s="2"/>
      <c r="B242" s="2"/>
      <c r="C242" s="7" t="str">
        <f>"說明："&amp;I236</f>
        <v>說明：無人飛機的升力主要由機翼提供。根據交通部民用航空局的遙控無人機學科測驗規範，飛行中的無人機會受到升力、推力、阻力和重力四力交互作用，其中「升力」由機翼產生，「推力」由發動機提供，「阻力」來自空氣，而「重力」則由地心引力產生。</v>
      </c>
      <c r="D242" s="2"/>
      <c r="E242" s="2"/>
      <c r="F242" s="2"/>
      <c r="G242" s="2"/>
      <c r="H242" s="2"/>
      <c r="I242" s="2"/>
    </row>
    <row r="243" spans="1:9" s="3" customFormat="1" ht="60">
      <c r="A243" s="4" t="str">
        <f>dB題庫!A42</f>
        <v>41</v>
      </c>
      <c r="B243" s="4" t="str">
        <f>dB題庫!B42</f>
        <v>重力由下列哪個項目產生</v>
      </c>
      <c r="C243" s="4" t="str">
        <f>A243&amp;"."&amp;B243</f>
        <v>41.重力由下列哪個項目產生</v>
      </c>
      <c r="D243" s="4" t="str">
        <f>dB題庫!C42</f>
        <v>空氣。</v>
      </c>
      <c r="E243" s="4" t="str">
        <f>dB題庫!D42</f>
        <v>地心引力。</v>
      </c>
      <c r="F243" s="4" t="str">
        <f>dB題庫!E42</f>
        <v>發動機。</v>
      </c>
      <c r="G243" s="4" t="str">
        <f>dB題庫!F42</f>
        <v>機翼。</v>
      </c>
      <c r="H243" s="4" t="str">
        <f>dB題庫!G42</f>
        <v>B.</v>
      </c>
      <c r="I243" s="4" t="str">
        <f>dB題庫!H42</f>
        <v>重力是由地心引力（或稱萬有引力）所產生的。
地心引力科學原理：根據牛頓萬有引力定律，任何具有質量的物體都會產生相互吸引的重力場。在地球表面附近，我們所感受到的「重力」主要就是地球質量所產生的地心引力。</v>
      </c>
    </row>
    <row r="244" spans="1:9" s="3" customFormat="1" ht="15">
      <c r="A244" s="2" t="s">
        <v>114</v>
      </c>
      <c r="B244" s="1"/>
      <c r="C244" s="7" t="str">
        <f>"(A.)"&amp;D243</f>
        <v>(A.)空氣。</v>
      </c>
      <c r="D244" s="2"/>
      <c r="E244" s="2"/>
      <c r="F244" s="2"/>
      <c r="G244" s="2"/>
      <c r="H244" s="2"/>
      <c r="I244" s="2"/>
    </row>
    <row r="245" spans="1:9" s="3" customFormat="1" ht="15">
      <c r="A245" s="2"/>
      <c r="B245" s="1"/>
      <c r="C245" s="7" t="str">
        <f>"(B.)"&amp;E243</f>
        <v>(B.)地心引力。</v>
      </c>
      <c r="D245" s="2"/>
      <c r="E245" s="2"/>
      <c r="F245" s="2"/>
      <c r="G245" s="2"/>
      <c r="H245" s="2"/>
      <c r="I245" s="2"/>
    </row>
    <row r="246" spans="1:9" s="3" customFormat="1" ht="15">
      <c r="A246" s="2"/>
      <c r="B246" s="2"/>
      <c r="C246" s="7" t="str">
        <f>"(C.)"&amp;F243</f>
        <v>(C.)發動機。</v>
      </c>
      <c r="D246" s="2"/>
      <c r="E246" s="2"/>
      <c r="F246" s="2"/>
      <c r="G246" s="2"/>
      <c r="H246" s="2"/>
      <c r="I246" s="2"/>
    </row>
    <row r="247" spans="1:9" s="3" customFormat="1" ht="15">
      <c r="A247" s="2"/>
      <c r="B247" s="2"/>
      <c r="C247" s="7" t="str">
        <f>"(D.)"&amp;G243</f>
        <v>(D.)機翼。</v>
      </c>
      <c r="D247" s="2"/>
      <c r="E247" s="2"/>
      <c r="F247" s="2"/>
      <c r="G247" s="2"/>
      <c r="H247" s="2"/>
      <c r="I247" s="2"/>
    </row>
    <row r="248" spans="1:9" s="3" customFormat="1" ht="15">
      <c r="A248" s="2"/>
      <c r="B248" s="2"/>
      <c r="C248" s="7" t="str">
        <f>"答案是： "&amp;IF(H243="A.",C244,IF(H243="B.",C245,IF(H243="C.",C246,IF(H243=("D."),C247,"XXXX"))))</f>
        <v>答案是： (B.)地心引力。</v>
      </c>
      <c r="D248" s="2"/>
      <c r="E248" s="2"/>
      <c r="F248" s="2"/>
      <c r="G248" s="2"/>
      <c r="H248" s="2"/>
      <c r="I248" s="2"/>
    </row>
    <row r="249" spans="1:9" s="3" customFormat="1" ht="90">
      <c r="A249" s="2"/>
      <c r="B249" s="2"/>
      <c r="C249" s="7" t="str">
        <f>"說明："&amp;I243</f>
        <v>說明：重力是由地心引力（或稱萬有引力）所產生的。
地心引力科學原理：根據牛頓萬有引力定律，任何具有質量的物體都會產生相互吸引的重力場。在地球表面附近，我們所感受到的「重力」主要就是地球質量所產生的地心引力。</v>
      </c>
      <c r="D249" s="2"/>
      <c r="E249" s="2"/>
      <c r="F249" s="2"/>
      <c r="G249" s="2"/>
      <c r="H249" s="2"/>
      <c r="I249" s="2"/>
    </row>
    <row r="250" spans="1:9" s="3" customFormat="1" ht="60">
      <c r="A250" s="4" t="str">
        <f>dB題庫!A43</f>
        <v>42</v>
      </c>
      <c r="B250" s="4" t="str">
        <f>dB題庫!B43</f>
        <v>飛機等速直線飛行時,縱軸(X軸)方向阻力與推力大小相同方向相反,所以有下列哪種情況</v>
      </c>
      <c r="C250" s="4" t="str">
        <f>A250&amp;"."&amp;B250</f>
        <v>42.飛機等速直線飛行時,縱軸(X軸)方向阻力與推力大小相同方向相反,所以有下列哪種情況</v>
      </c>
      <c r="D250" s="4" t="str">
        <f>dB題庫!C43</f>
        <v>橫軸(Y軸)方向合力為零,飛機無升降起伏。</v>
      </c>
      <c r="E250" s="4" t="str">
        <f>dB題庫!D43</f>
        <v>垂直軸(Z軸)方向合力為零,飛機無偏航的姿態。</v>
      </c>
      <c r="F250" s="4" t="str">
        <f>dB題庫!E43</f>
        <v>縱軸(X軸)方向合力為零,飛機速度不變。</v>
      </c>
      <c r="G250" s="4" t="str">
        <f>dB題庫!F43</f>
        <v>以上皆是。</v>
      </c>
      <c r="H250" s="4" t="str">
        <f>dB題庫!G43</f>
        <v>C.</v>
      </c>
      <c r="I250" s="4" t="str">
        <f>dB題庫!H43</f>
        <v>航空器擁有三個互相垂直的控制軸：縱軸(X軸)對應滾轉、橫軸(Y軸)對應俯仰、垂直軸(Z軸)對應偏航。當某一軸向的合力與力矩為零時，該方向即達到運動平衡狀態。
【】本題縱軸(X軸)方向合力為零,飛機速度不變。</v>
      </c>
    </row>
    <row r="251" spans="1:9" s="3" customFormat="1" ht="15">
      <c r="A251" s="2" t="s">
        <v>114</v>
      </c>
      <c r="B251" s="1"/>
      <c r="C251" s="7" t="str">
        <f>"(A.)"&amp;D250</f>
        <v>(A.)橫軸(Y軸)方向合力為零,飛機無升降起伏。</v>
      </c>
      <c r="D251" s="2"/>
      <c r="E251" s="2"/>
      <c r="F251" s="2"/>
      <c r="G251" s="2"/>
      <c r="H251" s="2"/>
      <c r="I251" s="2"/>
    </row>
    <row r="252" spans="1:9" s="3" customFormat="1" ht="30">
      <c r="A252" s="2"/>
      <c r="B252" s="1"/>
      <c r="C252" s="7" t="str">
        <f>"(B.)"&amp;E250</f>
        <v>(B.)垂直軸(Z軸)方向合力為零,飛機無偏航的姿態。</v>
      </c>
      <c r="D252" s="2"/>
      <c r="E252" s="2"/>
      <c r="F252" s="2"/>
      <c r="G252" s="2"/>
      <c r="H252" s="2"/>
      <c r="I252" s="2"/>
    </row>
    <row r="253" spans="1:9" s="3" customFormat="1" ht="15">
      <c r="A253" s="2"/>
      <c r="B253" s="2"/>
      <c r="C253" s="7" t="str">
        <f>"(C.)"&amp;F250</f>
        <v>(C.)縱軸(X軸)方向合力為零,飛機速度不變。</v>
      </c>
      <c r="D253" s="2"/>
      <c r="E253" s="2"/>
      <c r="F253" s="2"/>
      <c r="G253" s="2"/>
      <c r="H253" s="2"/>
      <c r="I253" s="2"/>
    </row>
    <row r="254" spans="1:9" s="3" customFormat="1" ht="15">
      <c r="A254" s="2"/>
      <c r="B254" s="2"/>
      <c r="C254" s="7" t="str">
        <f>"(D.)"&amp;G250</f>
        <v>(D.)以上皆是。</v>
      </c>
      <c r="D254" s="2"/>
      <c r="E254" s="2"/>
      <c r="F254" s="2"/>
      <c r="G254" s="2"/>
      <c r="H254" s="2"/>
      <c r="I254" s="2"/>
    </row>
    <row r="255" spans="1:9" s="3" customFormat="1" ht="30">
      <c r="A255" s="2"/>
      <c r="B255" s="2"/>
      <c r="C255" s="7" t="str">
        <f>"答案是： "&amp;IF(H250="A.",C251,IF(H250="B.",C252,IF(H250="C.",C253,IF(H250=("D."),C254,"XXXX"))))</f>
        <v>答案是： (C.)縱軸(X軸)方向合力為零,飛機速度不變。</v>
      </c>
      <c r="D255" s="2"/>
      <c r="E255" s="2"/>
      <c r="F255" s="2"/>
      <c r="G255" s="2"/>
      <c r="H255" s="2"/>
      <c r="I255" s="2"/>
    </row>
    <row r="256" spans="1:9" s="3" customFormat="1" ht="90">
      <c r="A256" s="2"/>
      <c r="B256" s="2"/>
      <c r="C256" s="7" t="str">
        <f>"說明："&amp;I250</f>
        <v>說明：航空器擁有三個互相垂直的控制軸：縱軸(X軸)對應滾轉、橫軸(Y軸)對應俯仰、垂直軸(Z軸)對應偏航。當某一軸向的合力與力矩為零時，該方向即達到運動平衡狀態。
【】本題縱軸(X軸)方向合力為零,飛機速度不變。</v>
      </c>
      <c r="D256" s="2"/>
      <c r="E256" s="2"/>
      <c r="F256" s="2"/>
      <c r="G256" s="2"/>
      <c r="H256" s="2"/>
      <c r="I256" s="2"/>
    </row>
    <row r="257" spans="1:9" s="3" customFormat="1" ht="60">
      <c r="A257" s="4" t="str">
        <f>dB題庫!A44</f>
        <v>43</v>
      </c>
      <c r="B257" s="4" t="str">
        <f>dB題庫!B44</f>
        <v>飛機高度保持時,垂直軸(Z軸)方向升力與重力大小相同方向相反,所以有下列哪種情況</v>
      </c>
      <c r="C257" s="4" t="str">
        <f>A257&amp;"."&amp;B257</f>
        <v>43.飛機高度保持時,垂直軸(Z軸)方向升力與重力大小相同方向相反,所以有下列哪種情況</v>
      </c>
      <c r="D257" s="4" t="str">
        <f>dB題庫!C44</f>
        <v>橫軸(Y軸)方向合力為零,飛機無偏航的姿態。</v>
      </c>
      <c r="E257" s="4" t="str">
        <f>dB題庫!D44</f>
        <v>垂直軸(Z軸)方向合力為零,飛機無升降起伏。</v>
      </c>
      <c r="F257" s="4" t="str">
        <f>dB題庫!E44</f>
        <v>縱軸(X軸)方向合力為零,飛機速度不變。</v>
      </c>
      <c r="G257" s="4" t="str">
        <f>dB題庫!F44</f>
        <v>以上皆是。</v>
      </c>
      <c r="H257" s="4" t="str">
        <f>dB題庫!G44</f>
        <v>B.</v>
      </c>
      <c r="I257" s="4" t="str">
        <f>dB題庫!H44</f>
        <v>航空器擁有三個互相垂直的控制軸：縱軸(X軸)對應滾轉、橫軸(Y軸)對應俯仰、垂直軸(Z軸)對應偏航。當某一軸向的合力與力矩為零時，該方向即達到運動平衡狀態。
【】本題垂直軸(Z軸)方向合力為零,飛機無升降起伏。</v>
      </c>
    </row>
    <row r="258" spans="1:9" s="3" customFormat="1" ht="15">
      <c r="A258" s="2" t="s">
        <v>114</v>
      </c>
      <c r="B258" s="1"/>
      <c r="C258" s="7" t="str">
        <f>"(A.)"&amp;D257</f>
        <v>(A.)橫軸(Y軸)方向合力為零,飛機無偏航的姿態。</v>
      </c>
      <c r="D258" s="2"/>
      <c r="E258" s="2"/>
      <c r="F258" s="2"/>
      <c r="G258" s="2"/>
      <c r="H258" s="2"/>
      <c r="I258" s="2"/>
    </row>
    <row r="259" spans="1:9" s="3" customFormat="1" ht="15">
      <c r="A259" s="2"/>
      <c r="B259" s="1"/>
      <c r="C259" s="7" t="str">
        <f>"(B.)"&amp;E257</f>
        <v>(B.)垂直軸(Z軸)方向合力為零,飛機無升降起伏。</v>
      </c>
      <c r="D259" s="2"/>
      <c r="E259" s="2"/>
      <c r="F259" s="2"/>
      <c r="G259" s="2"/>
      <c r="H259" s="2"/>
      <c r="I259" s="2"/>
    </row>
    <row r="260" spans="1:9" s="3" customFormat="1" ht="15">
      <c r="A260" s="2"/>
      <c r="B260" s="2"/>
      <c r="C260" s="7" t="str">
        <f>"(C.)"&amp;F257</f>
        <v>(C.)縱軸(X軸)方向合力為零,飛機速度不變。</v>
      </c>
      <c r="D260" s="2"/>
      <c r="E260" s="2"/>
      <c r="F260" s="2"/>
      <c r="G260" s="2"/>
      <c r="H260" s="2"/>
      <c r="I260" s="2"/>
    </row>
    <row r="261" spans="1:9" s="3" customFormat="1" ht="15">
      <c r="A261" s="2"/>
      <c r="B261" s="2"/>
      <c r="C261" s="7" t="str">
        <f>"(D.)"&amp;G257</f>
        <v>(D.)以上皆是。</v>
      </c>
      <c r="D261" s="2"/>
      <c r="E261" s="2"/>
      <c r="F261" s="2"/>
      <c r="G261" s="2"/>
      <c r="H261" s="2"/>
      <c r="I261" s="2"/>
    </row>
    <row r="262" spans="1:9" s="3" customFormat="1" ht="30">
      <c r="A262" s="2"/>
      <c r="B262" s="2"/>
      <c r="C262" s="7" t="str">
        <f>"答案是： "&amp;IF(H257="A.",C258,IF(H257="B.",C259,IF(H257="C.",C260,IF(H257=("D."),C261,"XXXX"))))</f>
        <v>答案是： (B.)垂直軸(Z軸)方向合力為零,飛機無升降起伏。</v>
      </c>
      <c r="D262" s="2"/>
      <c r="E262" s="2"/>
      <c r="F262" s="2"/>
      <c r="G262" s="2"/>
      <c r="H262" s="2"/>
      <c r="I262" s="2"/>
    </row>
    <row r="263" spans="1:9" s="3" customFormat="1" ht="90">
      <c r="A263" s="2"/>
      <c r="B263" s="2"/>
      <c r="C263" s="7" t="str">
        <f>"說明："&amp;I257</f>
        <v>說明：航空器擁有三個互相垂直的控制軸：縱軸(X軸)對應滾轉、橫軸(Y軸)對應俯仰、垂直軸(Z軸)對應偏航。當某一軸向的合力與力矩為零時，該方向即達到運動平衡狀態。
【】本題垂直軸(Z軸)方向合力為零,飛機無升降起伏。</v>
      </c>
      <c r="D263" s="2"/>
      <c r="E263" s="2"/>
      <c r="F263" s="2"/>
      <c r="G263" s="2"/>
      <c r="H263" s="2"/>
      <c r="I263" s="2"/>
    </row>
    <row r="264" spans="1:9" s="3" customFormat="1" ht="45">
      <c r="A264" s="4" t="str">
        <f>dB題庫!A45</f>
        <v>44</v>
      </c>
      <c r="B264" s="4" t="str">
        <f>dB題庫!B45</f>
        <v>連續性定理闡述了流體在流動中,下列哪些項目之間的關係</v>
      </c>
      <c r="C264" s="4" t="str">
        <f>A264&amp;"."&amp;B264</f>
        <v>44.連續性定理闡述了流體在流動中,下列哪些項目之間的關係</v>
      </c>
      <c r="D264" s="4" t="str">
        <f>dB題庫!C45</f>
        <v>流速和管道切面。</v>
      </c>
      <c r="E264" s="4" t="str">
        <f>dB題庫!D45</f>
        <v>流速和溫度。</v>
      </c>
      <c r="F264" s="4" t="str">
        <f>dB題庫!E45</f>
        <v>管道切面和溫度。</v>
      </c>
      <c r="G264" s="4" t="str">
        <f>dB題庫!F45</f>
        <v>溫度和壓力。</v>
      </c>
      <c r="H264" s="4" t="str">
        <f>dB題庫!G45</f>
        <v>A.</v>
      </c>
      <c r="I264" s="4" t="str">
        <f>dB題庫!H45</f>
        <v>連續性定理(Continuity Equation)基於質量守恆定律，闡述在密閉管道中流體流動時，管道切面積與流速成反比。切面積越小的地方，流速越快。
【】連續方程式：Q = A V</v>
      </c>
    </row>
    <row r="265" spans="1:9" s="3" customFormat="1" ht="15">
      <c r="A265" s="2" t="s">
        <v>114</v>
      </c>
      <c r="B265" s="1"/>
      <c r="C265" s="7" t="str">
        <f>"(A.)"&amp;D264</f>
        <v>(A.)流速和管道切面。</v>
      </c>
      <c r="D265" s="2"/>
      <c r="E265" s="2"/>
      <c r="F265" s="2"/>
      <c r="G265" s="2"/>
      <c r="H265" s="2"/>
      <c r="I265" s="2"/>
    </row>
    <row r="266" spans="1:9" s="3" customFormat="1" ht="15">
      <c r="A266" s="2"/>
      <c r="B266" s="1"/>
      <c r="C266" s="7" t="str">
        <f>"(B.)"&amp;E264</f>
        <v>(B.)流速和溫度。</v>
      </c>
      <c r="D266" s="2"/>
      <c r="E266" s="2"/>
      <c r="F266" s="2"/>
      <c r="G266" s="2"/>
      <c r="H266" s="2"/>
      <c r="I266" s="2"/>
    </row>
    <row r="267" spans="1:9" s="3" customFormat="1" ht="15">
      <c r="A267" s="2"/>
      <c r="B267" s="2"/>
      <c r="C267" s="7" t="str">
        <f>"(C.)"&amp;F264</f>
        <v>(C.)管道切面和溫度。</v>
      </c>
      <c r="D267" s="2"/>
      <c r="E267" s="2"/>
      <c r="F267" s="2"/>
      <c r="G267" s="2"/>
      <c r="H267" s="2"/>
      <c r="I267" s="2"/>
    </row>
    <row r="268" spans="1:9" s="3" customFormat="1" ht="15">
      <c r="A268" s="2"/>
      <c r="B268" s="2"/>
      <c r="C268" s="7" t="str">
        <f>"(D.)"&amp;G264</f>
        <v>(D.)溫度和壓力。</v>
      </c>
      <c r="D268" s="2"/>
      <c r="E268" s="2"/>
      <c r="F268" s="2"/>
      <c r="G268" s="2"/>
      <c r="H268" s="2"/>
      <c r="I268" s="2"/>
    </row>
    <row r="269" spans="1:9" s="3" customFormat="1" ht="15">
      <c r="A269" s="2"/>
      <c r="B269" s="2"/>
      <c r="C269" s="7" t="str">
        <f>"答案是： "&amp;IF(H264="A.",C265,IF(H264="B.",C266,IF(H264="C.",C267,IF(H264=("D."),C268,"XXXX"))))</f>
        <v>答案是： (A.)流速和管道切面。</v>
      </c>
      <c r="D269" s="2"/>
      <c r="E269" s="2"/>
      <c r="F269" s="2"/>
      <c r="G269" s="2"/>
      <c r="H269" s="2"/>
      <c r="I269" s="2"/>
    </row>
    <row r="270" spans="1:9" s="3" customFormat="1" ht="75">
      <c r="A270" s="2"/>
      <c r="B270" s="2"/>
      <c r="C270" s="7" t="str">
        <f>"說明："&amp;I264</f>
        <v>說明：連續性定理(Continuity Equation)基於質量守恆定律，闡述在密閉管道中流體流動時，管道切面積與流速成反比。切面積越小的地方，流速越快。
【】連續方程式：Q = A V</v>
      </c>
      <c r="D270" s="2"/>
      <c r="E270" s="2"/>
      <c r="F270" s="2"/>
      <c r="G270" s="2"/>
      <c r="H270" s="2"/>
      <c r="I270" s="2"/>
    </row>
    <row r="271" spans="1:9" s="3" customFormat="1" ht="45">
      <c r="A271" s="4" t="str">
        <f>dB題庫!A46</f>
        <v>45</v>
      </c>
      <c r="B271" s="4" t="str">
        <f>dB題庫!B46</f>
        <v>連續性定理闡述了流體在流動中,流速和管道切面相關,而且下列哪些項目也相關</v>
      </c>
      <c r="C271" s="4" t="str">
        <f>A271&amp;"."&amp;B271</f>
        <v>45.連續性定理闡述了流體在流動中,流速和管道切面相關,而且下列哪些項目也相關</v>
      </c>
      <c r="D271" s="4" t="str">
        <f>dB題庫!C46</f>
        <v>流速和壓力。</v>
      </c>
      <c r="E271" s="4" t="str">
        <f>dB題庫!D46</f>
        <v>流速和溫度。</v>
      </c>
      <c r="F271" s="4" t="str">
        <f>dB題庫!E46</f>
        <v>管道切面和溫度。</v>
      </c>
      <c r="G271" s="4" t="str">
        <f>dB題庫!F46</f>
        <v>溫度和壓力。</v>
      </c>
      <c r="H271" s="4" t="str">
        <f>dB題庫!G46</f>
        <v>A.</v>
      </c>
      <c r="I271" s="4" t="str">
        <f>dB題庫!H46</f>
        <v>連續性定理(Continuity Equation)基於質量守恆定律，闡述在密閉管道中流體流動時，管道切面積與流速成反比。切面積越小的地方，流速越快。
【】連續方程式：Q = A V</v>
      </c>
    </row>
    <row r="272" spans="1:9" s="3" customFormat="1" ht="15">
      <c r="A272" s="2" t="s">
        <v>114</v>
      </c>
      <c r="B272" s="1"/>
      <c r="C272" s="7" t="str">
        <f>"(A.)"&amp;D271</f>
        <v>(A.)流速和壓力。</v>
      </c>
      <c r="D272" s="2"/>
      <c r="E272" s="2"/>
      <c r="F272" s="2"/>
      <c r="G272" s="2"/>
      <c r="H272" s="2"/>
      <c r="I272" s="2"/>
    </row>
    <row r="273" spans="1:9" s="3" customFormat="1" ht="15">
      <c r="A273" s="2"/>
      <c r="B273" s="1"/>
      <c r="C273" s="7" t="str">
        <f>"(B.)"&amp;E271</f>
        <v>(B.)流速和溫度。</v>
      </c>
      <c r="D273" s="2"/>
      <c r="E273" s="2"/>
      <c r="F273" s="2"/>
      <c r="G273" s="2"/>
      <c r="H273" s="2"/>
      <c r="I273" s="2"/>
    </row>
    <row r="274" spans="1:9" s="3" customFormat="1" ht="15">
      <c r="A274" s="2"/>
      <c r="B274" s="2"/>
      <c r="C274" s="7" t="str">
        <f>"(C.)"&amp;F271</f>
        <v>(C.)管道切面和溫度。</v>
      </c>
      <c r="D274" s="2"/>
      <c r="E274" s="2"/>
      <c r="F274" s="2"/>
      <c r="G274" s="2"/>
      <c r="H274" s="2"/>
      <c r="I274" s="2"/>
    </row>
    <row r="275" spans="1:9" s="3" customFormat="1" ht="15">
      <c r="A275" s="2"/>
      <c r="B275" s="2"/>
      <c r="C275" s="7" t="str">
        <f>"(D.)"&amp;G271</f>
        <v>(D.)溫度和壓力。</v>
      </c>
      <c r="D275" s="2"/>
      <c r="E275" s="2"/>
      <c r="F275" s="2"/>
      <c r="G275" s="2"/>
      <c r="H275" s="2"/>
      <c r="I275" s="2"/>
    </row>
    <row r="276" spans="1:9" s="3" customFormat="1" ht="15">
      <c r="A276" s="2"/>
      <c r="B276" s="2"/>
      <c r="C276" s="7" t="str">
        <f>"答案是： "&amp;IF(H271="A.",C272,IF(H271="B.",C273,IF(H271="C.",C274,IF(H271=("D."),C275,"XXXX"))))</f>
        <v>答案是： (A.)流速和壓力。</v>
      </c>
      <c r="D276" s="2"/>
      <c r="E276" s="2"/>
      <c r="F276" s="2"/>
      <c r="G276" s="2"/>
      <c r="H276" s="2"/>
      <c r="I276" s="2"/>
    </row>
    <row r="277" spans="1:9" s="3" customFormat="1" ht="75">
      <c r="A277" s="2"/>
      <c r="B277" s="2"/>
      <c r="C277" s="7" t="str">
        <f>"說明："&amp;I271</f>
        <v>說明：連續性定理(Continuity Equation)基於質量守恆定律，闡述在密閉管道中流體流動時，管道切面積與流速成反比。切面積越小的地方，流速越快。
【】連續方程式：Q = A V</v>
      </c>
      <c r="D277" s="2"/>
      <c r="E277" s="2"/>
      <c r="F277" s="2"/>
      <c r="G277" s="2"/>
      <c r="H277" s="2"/>
      <c r="I277" s="2"/>
    </row>
    <row r="278" spans="1:9" s="3" customFormat="1" ht="75">
      <c r="A278" s="4" t="str">
        <f>dB題庫!A47</f>
        <v>46</v>
      </c>
      <c r="B278" s="4" t="str">
        <f>dB題庫!B47</f>
        <v>柏努利定律說明流體在一個管道中流動時,有下列哪種現象</v>
      </c>
      <c r="C278" s="4" t="str">
        <f>A278&amp;"."&amp;B278</f>
        <v>46.柏努利定律說明流體在一個管道中流動時,有下列哪種現象</v>
      </c>
      <c r="D278" s="4" t="str">
        <f>dB題庫!C47</f>
        <v>流速大的地方壓力大,流速小的地方壓力小。</v>
      </c>
      <c r="E278" s="4" t="str">
        <f>dB題庫!D47</f>
        <v>流速大的地方壓力大,流速小的地方壓力也大。</v>
      </c>
      <c r="F278" s="4" t="str">
        <f>dB題庫!E47</f>
        <v>流速大的地方壓力小,流速小的地方壓力大。</v>
      </c>
      <c r="G278" s="4" t="str">
        <f>dB題庫!F47</f>
        <v>流速大的地方壓力小,流速小的地方壓力也小。</v>
      </c>
      <c r="H278" s="4" t="str">
        <f>dB題庫!G47</f>
        <v>C.</v>
      </c>
      <c r="I278" s="4" t="str">
        <f>dB題庫!H47</f>
        <v>柏努利定律(Bernoulli's principle)是流體力學核心，又稱伯努利定律或白努力定律，是流體力學中的核心原理。簡單來說，它指出：流體的流速越快，其壓力就越小；反之，流速越慢，壓力就越大。這項原理實質上是能量守恆定律在流體流動上的具體展現。
這正解釋了機翼上方因弧度大流速快而產生向上吸力(低壓)的基本物理機制。</v>
      </c>
    </row>
    <row r="279" spans="1:9" s="3" customFormat="1" ht="15">
      <c r="A279" s="2" t="s">
        <v>114</v>
      </c>
      <c r="B279" s="1"/>
      <c r="C279" s="7" t="str">
        <f>"(A.)"&amp;D278</f>
        <v>(A.)流速大的地方壓力大,流速小的地方壓力小。</v>
      </c>
      <c r="D279" s="2"/>
      <c r="E279" s="2"/>
      <c r="F279" s="2"/>
      <c r="G279" s="2"/>
      <c r="H279" s="2"/>
      <c r="I279" s="2"/>
    </row>
    <row r="280" spans="1:9" s="3" customFormat="1" ht="30">
      <c r="A280" s="2"/>
      <c r="B280" s="1"/>
      <c r="C280" s="7" t="str">
        <f>"(B.)"&amp;E278</f>
        <v>(B.)流速大的地方壓力大,流速小的地方壓力也大。</v>
      </c>
      <c r="D280" s="2"/>
      <c r="E280" s="2"/>
      <c r="F280" s="2"/>
      <c r="G280" s="2"/>
      <c r="H280" s="2"/>
      <c r="I280" s="2"/>
    </row>
    <row r="281" spans="1:9" s="3" customFormat="1" ht="15">
      <c r="A281" s="2"/>
      <c r="B281" s="2"/>
      <c r="C281" s="7" t="str">
        <f>"(C.)"&amp;F278</f>
        <v>(C.)流速大的地方壓力小,流速小的地方壓力大。</v>
      </c>
      <c r="D281" s="2"/>
      <c r="E281" s="2"/>
      <c r="F281" s="2"/>
      <c r="G281" s="2"/>
      <c r="H281" s="2"/>
      <c r="I281" s="2"/>
    </row>
    <row r="282" spans="1:9" s="3" customFormat="1" ht="30">
      <c r="A282" s="2"/>
      <c r="B282" s="2"/>
      <c r="C282" s="7" t="str">
        <f>"(D.)"&amp;G278</f>
        <v>(D.)流速大的地方壓力小,流速小的地方壓力也小。</v>
      </c>
      <c r="D282" s="2"/>
      <c r="E282" s="2"/>
      <c r="F282" s="2"/>
      <c r="G282" s="2"/>
      <c r="H282" s="2"/>
      <c r="I282" s="2"/>
    </row>
    <row r="283" spans="1:9" s="3" customFormat="1" ht="30">
      <c r="A283" s="2"/>
      <c r="B283" s="2"/>
      <c r="C283" s="7" t="str">
        <f>"答案是： "&amp;IF(H278="A.",C279,IF(H278="B.",C280,IF(H278="C.",C281,IF(H278=("D."),C282,"XXXX"))))</f>
        <v>答案是： (C.)流速大的地方壓力小,流速小的地方壓力大。</v>
      </c>
      <c r="D283" s="2"/>
      <c r="E283" s="2"/>
      <c r="F283" s="2"/>
      <c r="G283" s="2"/>
      <c r="H283" s="2"/>
      <c r="I283" s="2"/>
    </row>
    <row r="284" spans="1:9" s="3" customFormat="1" ht="120">
      <c r="A284" s="2"/>
      <c r="B284" s="2"/>
      <c r="C284" s="7" t="str">
        <f>"說明："&amp;I278</f>
        <v>說明：柏努利定律(Bernoulli's principle)是流體力學核心，又稱伯努利定律或白努力定律，是流體力學中的核心原理。簡單來說，它指出：流體的流速越快，其壓力就越小；反之，流速越慢，壓力就越大。這項原理實質上是能量守恆定律在流體流動上的具體展現。
這正解釋了機翼上方因弧度大流速快而產生向上吸力(低壓)的基本物理機制。</v>
      </c>
      <c r="D284" s="2"/>
      <c r="E284" s="2"/>
      <c r="F284" s="2"/>
      <c r="G284" s="2"/>
      <c r="H284" s="2"/>
      <c r="I284" s="2"/>
    </row>
    <row r="285" spans="1:9" s="3" customFormat="1" ht="75">
      <c r="A285" s="4" t="str">
        <f>dB題庫!A48</f>
        <v>47</v>
      </c>
      <c r="B285" s="4" t="str">
        <f>dB題庫!B48</f>
        <v>柏努利定律目的是要闡述流體在流動中時,下列哪些項目間的關係</v>
      </c>
      <c r="C285" s="4" t="str">
        <f>A285&amp;"."&amp;B285</f>
        <v>47.柏努利定律目的是要闡述流體在流動中時,下列哪些項目間的關係</v>
      </c>
      <c r="D285" s="4" t="str">
        <f>dB題庫!C48</f>
        <v>流速和溫度。</v>
      </c>
      <c r="E285" s="4" t="str">
        <f>dB題庫!D48</f>
        <v>流速和壓力。</v>
      </c>
      <c r="F285" s="4" t="str">
        <f>dB題庫!E48</f>
        <v>溫度和壓力。</v>
      </c>
      <c r="G285" s="4" t="str">
        <f>dB題庫!F48</f>
        <v>以上皆非。</v>
      </c>
      <c r="H285" s="4" t="str">
        <f>dB題庫!G48</f>
        <v>B.</v>
      </c>
      <c r="I285" s="4" t="str">
        <f>dB題庫!H48</f>
        <v>柏努利定律(Bernoulli's principle)是流體力學核心，又稱伯努利定律或白努力定律，是流體力學中的核心原理。簡單來說，它指出：流體的流速越快，其壓力就越小；反之，流速越慢，壓力就越大。這項原理實質上是能量守恆定律在流體流動上的具體展現。
這正解釋了機翼上方因弧度大流速快而產生向上吸力(低壓)的基本物理機制。</v>
      </c>
    </row>
    <row r="286" spans="1:9" s="3" customFormat="1" ht="15">
      <c r="A286" s="2" t="s">
        <v>114</v>
      </c>
      <c r="B286" s="1"/>
      <c r="C286" s="7" t="str">
        <f>"(A.)"&amp;D285</f>
        <v>(A.)流速和溫度。</v>
      </c>
      <c r="D286" s="2"/>
      <c r="E286" s="2"/>
      <c r="F286" s="2"/>
      <c r="G286" s="2"/>
      <c r="H286" s="2"/>
      <c r="I286" s="2"/>
    </row>
    <row r="287" spans="1:9" s="3" customFormat="1" ht="15">
      <c r="A287" s="2"/>
      <c r="B287" s="1"/>
      <c r="C287" s="7" t="str">
        <f>"(B.)"&amp;E285</f>
        <v>(B.)流速和壓力。</v>
      </c>
      <c r="D287" s="2"/>
      <c r="E287" s="2"/>
      <c r="F287" s="2"/>
      <c r="G287" s="2"/>
      <c r="H287" s="2"/>
      <c r="I287" s="2"/>
    </row>
    <row r="288" spans="1:9" s="3" customFormat="1" ht="15">
      <c r="A288" s="2"/>
      <c r="B288" s="2"/>
      <c r="C288" s="7" t="str">
        <f>"(C.)"&amp;F285</f>
        <v>(C.)溫度和壓力。</v>
      </c>
      <c r="D288" s="2"/>
      <c r="E288" s="2"/>
      <c r="F288" s="2"/>
      <c r="G288" s="2"/>
      <c r="H288" s="2"/>
      <c r="I288" s="2"/>
    </row>
    <row r="289" spans="1:9" s="3" customFormat="1" ht="15">
      <c r="A289" s="2"/>
      <c r="B289" s="2"/>
      <c r="C289" s="7" t="str">
        <f>"(D.)"&amp;G285</f>
        <v>(D.)以上皆非。</v>
      </c>
      <c r="D289" s="2"/>
      <c r="E289" s="2"/>
      <c r="F289" s="2"/>
      <c r="G289" s="2"/>
      <c r="H289" s="2"/>
      <c r="I289" s="2"/>
    </row>
    <row r="290" spans="1:9" s="3" customFormat="1" ht="15">
      <c r="A290" s="2"/>
      <c r="B290" s="2"/>
      <c r="C290" s="7" t="str">
        <f>"答案是： "&amp;IF(H285="A.",C286,IF(H285="B.",C287,IF(H285="C.",C288,IF(H285=("D."),C289,"XXXX"))))</f>
        <v>答案是： (B.)流速和壓力。</v>
      </c>
      <c r="D290" s="2"/>
      <c r="E290" s="2"/>
      <c r="F290" s="2"/>
      <c r="G290" s="2"/>
      <c r="H290" s="2"/>
      <c r="I290" s="2"/>
    </row>
    <row r="291" spans="1:9" s="3" customFormat="1" ht="120">
      <c r="A291" s="2"/>
      <c r="B291" s="2"/>
      <c r="C291" s="7" t="str">
        <f>"說明："&amp;I285</f>
        <v>說明：柏努利定律(Bernoulli's principle)是流體力學核心，又稱伯努利定律或白努力定律，是流體力學中的核心原理。簡單來說，它指出：流體的流速越快，其壓力就越小；反之，流速越慢，壓力就越大。這項原理實質上是能量守恆定律在流體流動上的具體展現。
這正解釋了機翼上方因弧度大流速快而產生向上吸力(低壓)的基本物理機制。</v>
      </c>
      <c r="D291" s="2"/>
      <c r="E291" s="2"/>
      <c r="F291" s="2"/>
      <c r="G291" s="2"/>
      <c r="H291" s="2"/>
      <c r="I291" s="2"/>
    </row>
    <row r="292" spans="1:9" s="3" customFormat="1" ht="75">
      <c r="A292" s="4" t="str">
        <f>dB題庫!A49</f>
        <v>48</v>
      </c>
      <c r="B292" s="4" t="str">
        <f>dB題庫!B49</f>
        <v>柏努利定律中提到,如果流體的速度越快,流體中的壓力就會有下列哪種現象</v>
      </c>
      <c r="C292" s="4" t="str">
        <f>A292&amp;"."&amp;B292</f>
        <v>48.柏努利定律中提到,如果流體的速度越快,流體中的壓力就會有下列哪種現象</v>
      </c>
      <c r="D292" s="4" t="str">
        <f>dB題庫!C49</f>
        <v>越小。</v>
      </c>
      <c r="E292" s="4" t="str">
        <f>dB題庫!D49</f>
        <v>越大。</v>
      </c>
      <c r="F292" s="4" t="str">
        <f>dB題庫!E49</f>
        <v>不變。</v>
      </c>
      <c r="G292" s="4" t="str">
        <f>dB題庫!F49</f>
        <v>有時越小有時越大。</v>
      </c>
      <c r="H292" s="4" t="str">
        <f>dB題庫!G49</f>
        <v>A.</v>
      </c>
      <c r="I292" s="4" t="str">
        <f>dB題庫!H49</f>
        <v>柏努利定律(Bernoulli's principle)是流體力學核心，又稱伯努利定律或白努力定律，是流體力學中的核心原理。簡單來說，它指出：流體的流速越快，其壓力就越小；反之，流速越慢，壓力就越大。這項原理實質上是能量守恆定律在流體流動上的具體展現。
這正解釋了機翼上方因弧度大流速快而產生向上吸力(低壓)的基本物理機制。</v>
      </c>
    </row>
    <row r="293" spans="1:9" s="3" customFormat="1" ht="15">
      <c r="A293" s="2" t="s">
        <v>114</v>
      </c>
      <c r="B293" s="1"/>
      <c r="C293" s="7" t="str">
        <f>"(A.)"&amp;D292</f>
        <v>(A.)越小。</v>
      </c>
      <c r="D293" s="2"/>
      <c r="E293" s="2"/>
      <c r="F293" s="2"/>
      <c r="G293" s="2"/>
      <c r="H293" s="2"/>
      <c r="I293" s="2"/>
    </row>
    <row r="294" spans="1:9" s="3" customFormat="1" ht="15">
      <c r="A294" s="2"/>
      <c r="B294" s="1"/>
      <c r="C294" s="7" t="str">
        <f>"(B.)"&amp;E292</f>
        <v>(B.)越大。</v>
      </c>
      <c r="D294" s="2"/>
      <c r="E294" s="2"/>
      <c r="F294" s="2"/>
      <c r="G294" s="2"/>
      <c r="H294" s="2"/>
      <c r="I294" s="2"/>
    </row>
    <row r="295" spans="1:9" s="3" customFormat="1" ht="15">
      <c r="A295" s="2"/>
      <c r="B295" s="2"/>
      <c r="C295" s="7" t="str">
        <f>"(C.)"&amp;F292</f>
        <v>(C.)不變。</v>
      </c>
      <c r="D295" s="2"/>
      <c r="E295" s="2"/>
      <c r="F295" s="2"/>
      <c r="G295" s="2"/>
      <c r="H295" s="2"/>
      <c r="I295" s="2"/>
    </row>
    <row r="296" spans="1:9" s="3" customFormat="1" ht="15">
      <c r="A296" s="2"/>
      <c r="B296" s="2"/>
      <c r="C296" s="7" t="str">
        <f>"(D.)"&amp;G292</f>
        <v>(D.)有時越小有時越大。</v>
      </c>
      <c r="D296" s="2"/>
      <c r="E296" s="2"/>
      <c r="F296" s="2"/>
      <c r="G296" s="2"/>
      <c r="H296" s="2"/>
      <c r="I296" s="2"/>
    </row>
    <row r="297" spans="1:9" s="3" customFormat="1" ht="15">
      <c r="A297" s="2"/>
      <c r="B297" s="2"/>
      <c r="C297" s="7" t="str">
        <f>"答案是： "&amp;IF(H292="A.",C293,IF(H292="B.",C294,IF(H292="C.",C295,IF(H292=("D."),C296,"XXXX"))))</f>
        <v>答案是： (A.)越小。</v>
      </c>
      <c r="D297" s="2"/>
      <c r="E297" s="2"/>
      <c r="F297" s="2"/>
      <c r="G297" s="2"/>
      <c r="H297" s="2"/>
      <c r="I297" s="2"/>
    </row>
    <row r="298" spans="1:9" s="3" customFormat="1" ht="120">
      <c r="A298" s="2"/>
      <c r="B298" s="2"/>
      <c r="C298" s="7" t="str">
        <f>"說明："&amp;I292</f>
        <v>說明：柏努利定律(Bernoulli's principle)是流體力學核心，又稱伯努利定律或白努力定律，是流體力學中的核心原理。簡單來說，它指出：流體的流速越快，其壓力就越小；反之，流速越慢，壓力就越大。這項原理實質上是能量守恆定律在流體流動上的具體展現。
這正解釋了機翼上方因弧度大流速快而產生向上吸力(低壓)的基本物理機制。</v>
      </c>
      <c r="D298" s="2"/>
      <c r="E298" s="2"/>
      <c r="F298" s="2"/>
      <c r="G298" s="2"/>
      <c r="H298" s="2"/>
      <c r="I298" s="2"/>
    </row>
    <row r="299" spans="1:9" s="3" customFormat="1" ht="45">
      <c r="A299" s="4" t="str">
        <f>dB題庫!A50</f>
        <v>49</v>
      </c>
      <c r="B299" s="4" t="str">
        <f>dB題庫!B50</f>
        <v>遙控無人機的機翼或旋翼是下列哪種外力主要產生的地方</v>
      </c>
      <c r="C299" s="4" t="str">
        <f>A299&amp;"."&amp;B299</f>
        <v>49.遙控無人機的機翼或旋翼是下列哪種外力主要產生的地方</v>
      </c>
      <c r="D299" s="4" t="str">
        <f>dB題庫!C50</f>
        <v>阻力。</v>
      </c>
      <c r="E299" s="4" t="str">
        <f>dB題庫!D50</f>
        <v>升力。</v>
      </c>
      <c r="F299" s="4" t="str">
        <f>dB題庫!E50</f>
        <v>推力。</v>
      </c>
      <c r="G299" s="4" t="str">
        <f>dB題庫!F50</f>
        <v>重力。</v>
      </c>
      <c r="H299" s="4" t="str">
        <f>dB題庫!G50</f>
        <v>B.</v>
      </c>
      <c r="I299" s="4" t="str">
        <f>dB題庫!H50</f>
        <v>遙控無人機的機翼或旋翼是主要產生升力的地方。當空氣流過機翼或旋翼時，利用流體力學原理（如柏努利定律）產生上下表面的壓力差，進而提供抵抗重力、使無人機在空中飛行與爬升的作用力。</v>
      </c>
    </row>
    <row r="300" spans="1:9" s="3" customFormat="1" ht="15">
      <c r="A300" s="2" t="s">
        <v>114</v>
      </c>
      <c r="B300" s="1"/>
      <c r="C300" s="7" t="str">
        <f>"(A.)"&amp;D299</f>
        <v>(A.)阻力。</v>
      </c>
      <c r="D300" s="2"/>
      <c r="E300" s="2"/>
      <c r="F300" s="2"/>
      <c r="G300" s="2"/>
      <c r="H300" s="2"/>
      <c r="I300" s="2"/>
    </row>
    <row r="301" spans="1:9" s="3" customFormat="1" ht="15">
      <c r="A301" s="2"/>
      <c r="B301" s="1"/>
      <c r="C301" s="7" t="str">
        <f>"(B.)"&amp;E299</f>
        <v>(B.)升力。</v>
      </c>
      <c r="D301" s="2"/>
      <c r="E301" s="2"/>
      <c r="F301" s="2"/>
      <c r="G301" s="2"/>
      <c r="H301" s="2"/>
      <c r="I301" s="2"/>
    </row>
    <row r="302" spans="1:9" s="3" customFormat="1" ht="15">
      <c r="A302" s="2"/>
      <c r="B302" s="2"/>
      <c r="C302" s="7" t="str">
        <f>"(C.)"&amp;F299</f>
        <v>(C.)推力。</v>
      </c>
      <c r="D302" s="2"/>
      <c r="E302" s="2"/>
      <c r="F302" s="2"/>
      <c r="G302" s="2"/>
      <c r="H302" s="2"/>
      <c r="I302" s="2"/>
    </row>
    <row r="303" spans="1:9" s="3" customFormat="1" ht="15">
      <c r="A303" s="2"/>
      <c r="B303" s="2"/>
      <c r="C303" s="7" t="str">
        <f>"(D.)"&amp;G299</f>
        <v>(D.)重力。</v>
      </c>
      <c r="D303" s="2"/>
      <c r="E303" s="2"/>
      <c r="F303" s="2"/>
      <c r="G303" s="2"/>
      <c r="H303" s="2"/>
      <c r="I303" s="2"/>
    </row>
    <row r="304" spans="1:9" s="3" customFormat="1" ht="15">
      <c r="A304" s="2"/>
      <c r="B304" s="2"/>
      <c r="C304" s="7" t="str">
        <f>"答案是： "&amp;IF(H299="A.",C300,IF(H299="B.",C301,IF(H299="C.",C302,IF(H299=("D."),C303,"XXXX"))))</f>
        <v>答案是： (B.)升力。</v>
      </c>
      <c r="D304" s="2"/>
      <c r="E304" s="2"/>
      <c r="F304" s="2"/>
      <c r="G304" s="2"/>
      <c r="H304" s="2"/>
      <c r="I304" s="2"/>
    </row>
    <row r="305" spans="1:9" s="3" customFormat="1" ht="75">
      <c r="A305" s="2"/>
      <c r="B305" s="2"/>
      <c r="C305" s="7" t="str">
        <f>"說明："&amp;I299</f>
        <v>說明：遙控無人機的機翼或旋翼是主要產生升力的地方。當空氣流過機翼或旋翼時，利用流體力學原理（如柏努利定律）產生上下表面的壓力差，進而提供抵抗重力、使無人機在空中飛行與爬升的作用力。</v>
      </c>
      <c r="D305" s="2"/>
      <c r="E305" s="2"/>
      <c r="F305" s="2"/>
      <c r="G305" s="2"/>
      <c r="H305" s="2"/>
      <c r="I305" s="2"/>
    </row>
    <row r="306" spans="1:9" s="3" customFormat="1" ht="75">
      <c r="A306" s="4" t="str">
        <f>dB題庫!A51</f>
        <v>50</v>
      </c>
      <c r="B306" s="4" t="str">
        <f>dB題庫!B51</f>
        <v>基於連續性定理、柏努利定律兩個理論,我們可以知道機翼上、下表面會出現下列哪種現象</v>
      </c>
      <c r="C306" s="4" t="str">
        <f>A306&amp;"."&amp;B306</f>
        <v>50.基於連續性定理、柏努利定律兩個理論,我們可以知道機翼上、下表面會出現下列哪種現象</v>
      </c>
      <c r="D306" s="4" t="str">
        <f>dB題庫!C51</f>
        <v>溫度差。</v>
      </c>
      <c r="E306" s="4" t="str">
        <f>dB題庫!D51</f>
        <v>壓力差。</v>
      </c>
      <c r="F306" s="4" t="str">
        <f>dB題庫!E51</f>
        <v>濕度差。</v>
      </c>
      <c r="G306" s="4" t="str">
        <f>dB題庫!F51</f>
        <v>比熱差。</v>
      </c>
      <c r="H306" s="4" t="str">
        <f>dB題庫!G51</f>
        <v>B.</v>
      </c>
      <c r="I306" s="4" t="str">
        <f>dB題庫!H51</f>
        <v>柏努利定律(Bernoulli's principle)是流體力學核心，又稱伯努利定律或白努力定律，是流體力學中的核心原理。簡單來說，它指出：流體的流速越快，其壓力就越小；反之，流速越慢，壓力就越大。這項原理實質上是能量守恆定律在流體流動上的具體展現。
這正解釋了機翼上方因弧度大流速快而產生向上吸力(低壓)的基本物理機制。</v>
      </c>
    </row>
    <row r="307" spans="1:9" s="3" customFormat="1" ht="15">
      <c r="A307" s="2" t="s">
        <v>114</v>
      </c>
      <c r="B307" s="1"/>
      <c r="C307" s="7" t="str">
        <f>"(A.)"&amp;D306</f>
        <v>(A.)溫度差。</v>
      </c>
      <c r="D307" s="2"/>
      <c r="E307" s="2"/>
      <c r="F307" s="2"/>
      <c r="G307" s="2"/>
      <c r="H307" s="2"/>
      <c r="I307" s="2"/>
    </row>
    <row r="308" spans="1:9" s="3" customFormat="1" ht="15">
      <c r="A308" s="2"/>
      <c r="B308" s="1"/>
      <c r="C308" s="7" t="str">
        <f>"(B.)"&amp;E306</f>
        <v>(B.)壓力差。</v>
      </c>
      <c r="D308" s="2"/>
      <c r="E308" s="2"/>
      <c r="F308" s="2"/>
      <c r="G308" s="2"/>
      <c r="H308" s="2"/>
      <c r="I308" s="2"/>
    </row>
    <row r="309" spans="1:9" s="3" customFormat="1" ht="15">
      <c r="A309" s="2"/>
      <c r="B309" s="2"/>
      <c r="C309" s="7" t="str">
        <f>"(C.)"&amp;F306</f>
        <v>(C.)濕度差。</v>
      </c>
      <c r="D309" s="2"/>
      <c r="E309" s="2"/>
      <c r="F309" s="2"/>
      <c r="G309" s="2"/>
      <c r="H309" s="2"/>
      <c r="I309" s="2"/>
    </row>
    <row r="310" spans="1:9" s="3" customFormat="1" ht="15">
      <c r="A310" s="2"/>
      <c r="B310" s="2"/>
      <c r="C310" s="7" t="str">
        <f>"(D.)"&amp;G306</f>
        <v>(D.)比熱差。</v>
      </c>
      <c r="D310" s="2"/>
      <c r="E310" s="2"/>
      <c r="F310" s="2"/>
      <c r="G310" s="2"/>
      <c r="H310" s="2"/>
      <c r="I310" s="2"/>
    </row>
    <row r="311" spans="1:9" s="3" customFormat="1" ht="15">
      <c r="A311" s="2"/>
      <c r="B311" s="2"/>
      <c r="C311" s="7" t="str">
        <f>"答案是： "&amp;IF(H306="A.",C307,IF(H306="B.",C308,IF(H306="C.",C309,IF(H306=("D."),C310,"XXXX"))))</f>
        <v>答案是： (B.)壓力差。</v>
      </c>
      <c r="D311" s="2"/>
      <c r="E311" s="2"/>
      <c r="F311" s="2"/>
      <c r="G311" s="2"/>
      <c r="H311" s="2"/>
      <c r="I311" s="2"/>
    </row>
    <row r="312" spans="1:9" s="3" customFormat="1" ht="120">
      <c r="A312" s="2"/>
      <c r="B312" s="2"/>
      <c r="C312" s="7" t="str">
        <f>"說明："&amp;I306</f>
        <v>說明：柏努利定律(Bernoulli's principle)是流體力學核心，又稱伯努利定律或白努力定律，是流體力學中的核心原理。簡單來說，它指出：流體的流速越快，其壓力就越小；反之，流速越慢，壓力就越大。這項原理實質上是能量守恆定律在流體流動上的具體展現。
這正解釋了機翼上方因弧度大流速快而產生向上吸力(低壓)的基本物理機制。</v>
      </c>
      <c r="D312" s="2"/>
      <c r="E312" s="2"/>
      <c r="F312" s="2"/>
      <c r="G312" s="2"/>
      <c r="H312" s="2"/>
      <c r="I312" s="2"/>
    </row>
    <row r="313" spans="1:9" s="3" customFormat="1" ht="45">
      <c r="A313" s="4" t="str">
        <f>dB題庫!A52</f>
        <v>51</v>
      </c>
      <c r="B313" s="4" t="str">
        <f>dB題庫!B52</f>
        <v>垂直於相對氣流方向的壓力差之總和就是下列哪種外力</v>
      </c>
      <c r="C313" s="4" t="str">
        <f>A313&amp;"."&amp;B313</f>
        <v>51.垂直於相對氣流方向的壓力差之總和就是下列哪種外力</v>
      </c>
      <c r="D313" s="4" t="str">
        <f>dB題庫!C52</f>
        <v>槳葉本身的攻角設計。</v>
      </c>
      <c r="E313" s="4" t="str">
        <f>dB題庫!D52</f>
        <v>空氣的阻力。</v>
      </c>
      <c r="F313" s="4" t="str">
        <f>dB題庫!E52</f>
        <v>機翼的升力。</v>
      </c>
      <c r="G313" s="4" t="str">
        <f>dB題庫!F52</f>
        <v>地心引力。</v>
      </c>
      <c r="H313" s="4" t="str">
        <f>dB題庫!G52</f>
        <v>C.</v>
      </c>
      <c r="I313" s="4" t="str">
        <f>dB題庫!H52</f>
        <v>「垂直於相對氣流方向的壓力差之總和」就是飛機或航空器的 機翼升力。當氣流通過機翼時，因為流速的不同而產生上下表面壓力差，這個垂直於氣流方向的壓差加總便形成了升力。</v>
      </c>
    </row>
    <row r="314" spans="1:9" s="3" customFormat="1" ht="15">
      <c r="A314" s="2" t="s">
        <v>114</v>
      </c>
      <c r="B314" s="1"/>
      <c r="C314" s="7" t="str">
        <f>"(A.)"&amp;D313</f>
        <v>(A.)槳葉本身的攻角設計。</v>
      </c>
      <c r="D314" s="2"/>
      <c r="E314" s="2"/>
      <c r="F314" s="2"/>
      <c r="G314" s="2"/>
      <c r="H314" s="2"/>
      <c r="I314" s="2"/>
    </row>
    <row r="315" spans="1:9" s="3" customFormat="1" ht="15">
      <c r="A315" s="2"/>
      <c r="B315" s="1"/>
      <c r="C315" s="7" t="str">
        <f>"(B.)"&amp;E313</f>
        <v>(B.)空氣的阻力。</v>
      </c>
      <c r="D315" s="2"/>
      <c r="E315" s="2"/>
      <c r="F315" s="2"/>
      <c r="G315" s="2"/>
      <c r="H315" s="2"/>
      <c r="I315" s="2"/>
    </row>
    <row r="316" spans="1:9" s="3" customFormat="1" ht="15">
      <c r="A316" s="2"/>
      <c r="B316" s="2"/>
      <c r="C316" s="7" t="str">
        <f>"(C.)"&amp;F313</f>
        <v>(C.)機翼的升力。</v>
      </c>
      <c r="D316" s="2"/>
      <c r="E316" s="2"/>
      <c r="F316" s="2"/>
      <c r="G316" s="2"/>
      <c r="H316" s="2"/>
      <c r="I316" s="2"/>
    </row>
    <row r="317" spans="1:9" s="3" customFormat="1" ht="15">
      <c r="A317" s="2"/>
      <c r="B317" s="2"/>
      <c r="C317" s="7" t="str">
        <f>"(D.)"&amp;G313</f>
        <v>(D.)地心引力。</v>
      </c>
      <c r="D317" s="2"/>
      <c r="E317" s="2"/>
      <c r="F317" s="2"/>
      <c r="G317" s="2"/>
      <c r="H317" s="2"/>
      <c r="I317" s="2"/>
    </row>
    <row r="318" spans="1:9" s="3" customFormat="1" ht="15">
      <c r="A318" s="2"/>
      <c r="B318" s="2"/>
      <c r="C318" s="7" t="str">
        <f>"答案是： "&amp;IF(H313="A.",C314,IF(H313="B.",C315,IF(H313="C.",C316,IF(H313=("D."),C317,"XXXX"))))</f>
        <v>答案是： (C.)機翼的升力。</v>
      </c>
      <c r="D318" s="2"/>
      <c r="E318" s="2"/>
      <c r="F318" s="2"/>
      <c r="G318" s="2"/>
      <c r="H318" s="2"/>
      <c r="I318" s="2"/>
    </row>
    <row r="319" spans="1:9" s="3" customFormat="1" ht="60">
      <c r="A319" s="2"/>
      <c r="B319" s="2"/>
      <c r="C319" s="7" t="str">
        <f>"說明："&amp;I313</f>
        <v>說明：「垂直於相對氣流方向的壓力差之總和」就是飛機或航空器的 機翼升力。當氣流通過機翼時，因為流速的不同而產生上下表面壓力差，這個垂直於氣流方向的壓差加總便形成了升力。</v>
      </c>
      <c r="D319" s="2"/>
      <c r="E319" s="2"/>
      <c r="F319" s="2"/>
      <c r="G319" s="2"/>
      <c r="H319" s="2"/>
      <c r="I319" s="2"/>
    </row>
    <row r="320" spans="1:9" s="3" customFormat="1" ht="60">
      <c r="A320" s="4" t="str">
        <f>dB題庫!A53</f>
        <v>52</v>
      </c>
      <c r="B320" s="4" t="str">
        <f>dB題庫!B53</f>
        <v>螺旋槳產生的推力是藉由下列哪個項目而成</v>
      </c>
      <c r="C320" s="4" t="str">
        <f>A320&amp;"."&amp;B320</f>
        <v>52.螺旋槳產生的推力是藉由下列哪個項目而成</v>
      </c>
      <c r="D320" s="4" t="str">
        <f>dB題庫!C53</f>
        <v>槳葉本身的攻角設計。</v>
      </c>
      <c r="E320" s="4" t="str">
        <f>dB題庫!D53</f>
        <v>螺旋槳轉速。</v>
      </c>
      <c r="F320" s="4" t="str">
        <f>dB題庫!E53</f>
        <v>以上皆是。</v>
      </c>
      <c r="G320" s="4" t="str">
        <f>dB題庫!F53</f>
        <v>以上皆非。</v>
      </c>
      <c r="H320" s="4" t="str">
        <f>dB題庫!G53</f>
        <v>C.</v>
      </c>
      <c r="I320" s="4" t="str">
        <f>dB題庫!H53</f>
        <v>螺旋槳產生的推力是藉由「槳葉本身的攻角設計」與「螺旋槳轉速（RPM）」共同作用而成。當發動機帶動螺旋槳旋轉時，槳葉前端的特殊弧度與攻角會加速空氣流動，利用白努利定律產生壓力差，進而推動空氣並轉化為向前推進的反作用力。</v>
      </c>
    </row>
    <row r="321" spans="1:9" s="3" customFormat="1" ht="15">
      <c r="A321" s="2" t="s">
        <v>114</v>
      </c>
      <c r="B321" s="1"/>
      <c r="C321" s="7" t="str">
        <f>"(A.)"&amp;D320</f>
        <v>(A.)槳葉本身的攻角設計。</v>
      </c>
      <c r="D321" s="2"/>
      <c r="E321" s="2"/>
      <c r="F321" s="2"/>
      <c r="G321" s="2"/>
      <c r="H321" s="2"/>
      <c r="I321" s="2"/>
    </row>
    <row r="322" spans="1:9" s="3" customFormat="1" ht="15">
      <c r="A322" s="2"/>
      <c r="B322" s="1"/>
      <c r="C322" s="7" t="str">
        <f>"(B.)"&amp;E320</f>
        <v>(B.)螺旋槳轉速。</v>
      </c>
      <c r="D322" s="2"/>
      <c r="E322" s="2"/>
      <c r="F322" s="2"/>
      <c r="G322" s="2"/>
      <c r="H322" s="2"/>
      <c r="I322" s="2"/>
    </row>
    <row r="323" spans="1:9" s="3" customFormat="1" ht="15">
      <c r="A323" s="2"/>
      <c r="B323" s="2"/>
      <c r="C323" s="7" t="str">
        <f>"(C.)"&amp;F320</f>
        <v>(C.)以上皆是。</v>
      </c>
      <c r="D323" s="2"/>
      <c r="E323" s="2"/>
      <c r="F323" s="2"/>
      <c r="G323" s="2"/>
      <c r="H323" s="2"/>
      <c r="I323" s="2"/>
    </row>
    <row r="324" spans="1:9" s="3" customFormat="1" ht="15">
      <c r="A324" s="2"/>
      <c r="B324" s="2"/>
      <c r="C324" s="7" t="str">
        <f>"(D.)"&amp;G320</f>
        <v>(D.)以上皆非。</v>
      </c>
      <c r="D324" s="2"/>
      <c r="E324" s="2"/>
      <c r="F324" s="2"/>
      <c r="G324" s="2"/>
      <c r="H324" s="2"/>
      <c r="I324" s="2"/>
    </row>
    <row r="325" spans="1:9" s="3" customFormat="1" ht="15">
      <c r="A325" s="2"/>
      <c r="B325" s="2"/>
      <c r="C325" s="7" t="str">
        <f>"答案是： "&amp;IF(H320="A.",C321,IF(H320="B.",C322,IF(H320="C.",C323,IF(H320=("D."),C324,"XXXX"))))</f>
        <v>答案是： (C.)以上皆是。</v>
      </c>
      <c r="D325" s="2"/>
      <c r="E325" s="2"/>
      <c r="F325" s="2"/>
      <c r="G325" s="2"/>
      <c r="H325" s="2"/>
      <c r="I325" s="2"/>
    </row>
    <row r="326" spans="1:9" s="3" customFormat="1" ht="90">
      <c r="A326" s="2"/>
      <c r="B326" s="2"/>
      <c r="C326" s="7" t="str">
        <f>"說明："&amp;I320</f>
        <v>說明：螺旋槳產生的推力是藉由「槳葉本身的攻角設計」與「螺旋槳轉速（RPM）」共同作用而成。當發動機帶動螺旋槳旋轉時，槳葉前端的特殊弧度與攻角會加速空氣流動，利用白努利定律產生壓力差，進而推動空氣並轉化為向前推進的反作用力。</v>
      </c>
      <c r="D326" s="2"/>
      <c r="E326" s="2"/>
      <c r="F326" s="2"/>
      <c r="G326" s="2"/>
      <c r="H326" s="2"/>
      <c r="I326" s="2"/>
    </row>
    <row r="327" spans="1:9" s="3" customFormat="1" ht="45">
      <c r="A327" s="4" t="str">
        <f>dB題庫!A54</f>
        <v>53</v>
      </c>
      <c r="B327" s="4" t="str">
        <f>dB題庫!B54</f>
        <v>螺旋槳轉速通常以下列哪個項目來表示</v>
      </c>
      <c r="C327" s="4" t="str">
        <f>A327&amp;"."&amp;B327</f>
        <v>53.螺旋槳轉速通常以下列哪個項目來表示</v>
      </c>
      <c r="D327" s="4" t="str">
        <f>dB題庫!C54</f>
        <v>每秒徑度 (rA.D./s)。</v>
      </c>
      <c r="E327" s="4" t="str">
        <f>dB題庫!D54</f>
        <v>每分鐘轉數(RPM)。</v>
      </c>
      <c r="F327" s="4" t="str">
        <f>dB題庫!E54</f>
        <v>赫茲(Hz)。</v>
      </c>
      <c r="G327" s="4" t="str">
        <f>dB題庫!F54</f>
        <v>每分鐘徑度 (rA.D./min)。</v>
      </c>
      <c r="H327" s="4" t="str">
        <f>dB題庫!G54</f>
        <v>B.</v>
      </c>
      <c r="I327" s="4" t="str">
        <f>dB題庫!H54</f>
        <v>螺旋槳轉速通常是以每分鐘轉數（RPM）來表示。轉速單位說明每分鐘轉數（RPM）：指螺旋槳在一分鐘內轉動的圈數，為航空與動力機械領域中最常用的轉速標準單位。</v>
      </c>
    </row>
    <row r="328" spans="1:9" s="3" customFormat="1" ht="15">
      <c r="A328" s="2" t="s">
        <v>114</v>
      </c>
      <c r="B328" s="1"/>
      <c r="C328" s="7" t="str">
        <f>"(A.)"&amp;D327</f>
        <v>(A.)每秒徑度 (rA.D./s)。</v>
      </c>
      <c r="D328" s="2"/>
      <c r="E328" s="2"/>
      <c r="F328" s="2"/>
      <c r="G328" s="2"/>
      <c r="H328" s="2"/>
      <c r="I328" s="2"/>
    </row>
    <row r="329" spans="1:9" s="3" customFormat="1" ht="15">
      <c r="A329" s="2"/>
      <c r="B329" s="1"/>
      <c r="C329" s="7" t="str">
        <f>"(B.)"&amp;E327</f>
        <v>(B.)每分鐘轉數(RPM)。</v>
      </c>
      <c r="D329" s="2"/>
      <c r="E329" s="2"/>
      <c r="F329" s="2"/>
      <c r="G329" s="2"/>
      <c r="H329" s="2"/>
      <c r="I329" s="2"/>
    </row>
    <row r="330" spans="1:9" s="3" customFormat="1" ht="15">
      <c r="A330" s="2"/>
      <c r="B330" s="2"/>
      <c r="C330" s="7" t="str">
        <f>"(C.)"&amp;F327</f>
        <v>(C.)赫茲(Hz)。</v>
      </c>
      <c r="D330" s="2"/>
      <c r="E330" s="2"/>
      <c r="F330" s="2"/>
      <c r="G330" s="2"/>
      <c r="H330" s="2"/>
      <c r="I330" s="2"/>
    </row>
    <row r="331" spans="1:9" s="3" customFormat="1" ht="15">
      <c r="A331" s="2"/>
      <c r="B331" s="2"/>
      <c r="C331" s="7" t="str">
        <f>"(D.)"&amp;G327</f>
        <v>(D.)每分鐘徑度 (rA.D./min)。</v>
      </c>
      <c r="D331" s="2"/>
      <c r="E331" s="2"/>
      <c r="F331" s="2"/>
      <c r="G331" s="2"/>
      <c r="H331" s="2"/>
      <c r="I331" s="2"/>
    </row>
    <row r="332" spans="1:9" s="3" customFormat="1" ht="15">
      <c r="A332" s="2"/>
      <c r="B332" s="2"/>
      <c r="C332" s="7" t="str">
        <f>"答案是： "&amp;IF(H327="A.",C328,IF(H327="B.",C329,IF(H327="C.",C330,IF(H327=("D."),C331,"XXXX"))))</f>
        <v>答案是： (B.)每分鐘轉數(RPM)。</v>
      </c>
      <c r="D332" s="2"/>
      <c r="E332" s="2"/>
      <c r="F332" s="2"/>
      <c r="G332" s="2"/>
      <c r="H332" s="2"/>
      <c r="I332" s="2"/>
    </row>
    <row r="333" spans="1:9" s="3" customFormat="1" ht="60">
      <c r="A333" s="2"/>
      <c r="B333" s="2"/>
      <c r="C333" s="7" t="str">
        <f>"說明："&amp;I327</f>
        <v>說明：螺旋槳轉速通常是以每分鐘轉數（RPM）來表示。轉速單位說明每分鐘轉數（RPM）：指螺旋槳在一分鐘內轉動的圈數，為航空與動力機械領域中最常用的轉速標準單位。</v>
      </c>
      <c r="D333" s="2"/>
      <c r="E333" s="2"/>
      <c r="F333" s="2"/>
      <c r="G333" s="2"/>
      <c r="H333" s="2"/>
      <c r="I333" s="2"/>
    </row>
    <row r="334" spans="1:9" s="3" customFormat="1" ht="60">
      <c r="A334" s="4" t="str">
        <f>dB題庫!A55</f>
        <v>54</v>
      </c>
      <c r="B334" s="4" t="str">
        <f>dB題庫!B55</f>
        <v>一般螺旋槳攻角最大的位置在槳葉的下列哪個位置</v>
      </c>
      <c r="C334" s="4" t="str">
        <f>A334&amp;"."&amp;B334</f>
        <v>54.一般螺旋槳攻角最大的位置在槳葉的下列哪個位置</v>
      </c>
      <c r="D334" s="4" t="str">
        <f>dB題庫!C55</f>
        <v>槳葉根部。</v>
      </c>
      <c r="E334" s="4" t="str">
        <f>dB題庫!D55</f>
        <v>槳葉葉尖。</v>
      </c>
      <c r="F334" s="4" t="str">
        <f>dB題庫!E55</f>
        <v>槳葉中尖。</v>
      </c>
      <c r="G334" s="4" t="str">
        <f>dB題庫!F55</f>
        <v>以上皆是。</v>
      </c>
      <c r="H334" s="4" t="str">
        <f>dB題庫!G55</f>
        <v>A.</v>
      </c>
      <c r="I334" s="4" t="str">
        <f>dB題庫!H55</f>
        <v>一般螺旋槳攻角最大位置在槳葉根部。這是因為槳葉從根部到葉尖，每一單位的旋轉線速度不同（葉尖最快、根部最慢）。為了讓整片槳葉產生的推力平均，原廠設計時會採用「扭轉角」設計，讓攻角從根部最大開始，一路遞減至葉尖最小。</v>
      </c>
    </row>
    <row r="335" spans="1:9" s="3" customFormat="1" ht="15">
      <c r="A335" s="2" t="s">
        <v>114</v>
      </c>
      <c r="B335" s="1"/>
      <c r="C335" s="7" t="str">
        <f>"(A.)"&amp;D334</f>
        <v>(A.)槳葉根部。</v>
      </c>
      <c r="D335" s="2"/>
      <c r="E335" s="2"/>
      <c r="F335" s="2"/>
      <c r="G335" s="2"/>
      <c r="H335" s="2"/>
      <c r="I335" s="2"/>
    </row>
    <row r="336" spans="1:9" s="3" customFormat="1" ht="15">
      <c r="A336" s="2"/>
      <c r="B336" s="1"/>
      <c r="C336" s="7" t="str">
        <f>"(B.)"&amp;E334</f>
        <v>(B.)槳葉葉尖。</v>
      </c>
      <c r="D336" s="2"/>
      <c r="E336" s="2"/>
      <c r="F336" s="2"/>
      <c r="G336" s="2"/>
      <c r="H336" s="2"/>
      <c r="I336" s="2"/>
    </row>
    <row r="337" spans="1:9" s="3" customFormat="1" ht="15">
      <c r="A337" s="2"/>
      <c r="B337" s="2"/>
      <c r="C337" s="7" t="str">
        <f>"(C.)"&amp;F334</f>
        <v>(C.)槳葉中尖。</v>
      </c>
      <c r="D337" s="2"/>
      <c r="E337" s="2"/>
      <c r="F337" s="2"/>
      <c r="G337" s="2"/>
      <c r="H337" s="2"/>
      <c r="I337" s="2"/>
    </row>
    <row r="338" spans="1:9" s="3" customFormat="1" ht="15">
      <c r="A338" s="2"/>
      <c r="B338" s="2"/>
      <c r="C338" s="7" t="str">
        <f>"(D.)"&amp;G334</f>
        <v>(D.)以上皆是。</v>
      </c>
      <c r="D338" s="2"/>
      <c r="E338" s="2"/>
      <c r="F338" s="2"/>
      <c r="G338" s="2"/>
      <c r="H338" s="2"/>
      <c r="I338" s="2"/>
    </row>
    <row r="339" spans="1:9" s="3" customFormat="1" ht="15">
      <c r="A339" s="2"/>
      <c r="B339" s="2"/>
      <c r="C339" s="7" t="str">
        <f>"答案是： "&amp;IF(H334="A.",C335,IF(H334="B.",C336,IF(H334="C.",C337,IF(H334=("D."),C338,"XXXX"))))</f>
        <v>答案是： (A.)槳葉根部。</v>
      </c>
      <c r="D339" s="2"/>
      <c r="E339" s="2"/>
      <c r="F339" s="2"/>
      <c r="G339" s="2"/>
      <c r="H339" s="2"/>
      <c r="I339" s="2"/>
    </row>
    <row r="340" spans="1:9" s="3" customFormat="1" ht="90">
      <c r="A340" s="2"/>
      <c r="B340" s="2"/>
      <c r="C340" s="7" t="str">
        <f>"說明："&amp;I334</f>
        <v>說明：一般螺旋槳攻角最大位置在槳葉根部。這是因為槳葉從根部到葉尖，每一單位的旋轉線速度不同（葉尖最快、根部最慢）。為了讓整片槳葉產生的推力平均，原廠設計時會採用「扭轉角」設計，讓攻角從根部最大開始，一路遞減至葉尖最小。</v>
      </c>
      <c r="D340" s="2"/>
      <c r="E340" s="2"/>
      <c r="F340" s="2"/>
      <c r="G340" s="2"/>
      <c r="H340" s="2"/>
      <c r="I340" s="2"/>
    </row>
    <row r="341" spans="1:9" s="3" customFormat="1" ht="60">
      <c r="A341" s="4" t="str">
        <f>dB題庫!A56</f>
        <v>55</v>
      </c>
      <c r="B341" s="4" t="str">
        <f>dB題庫!B56</f>
        <v>飛機螺旋槳在原廠設計時,為了設計出高效率的槳葉角度,係依據發動機及飛機的下列哪些特性做為基礎</v>
      </c>
      <c r="C341" s="4" t="str">
        <f>A341&amp;"."&amp;B341</f>
        <v>55.飛機螺旋槳在原廠設計時,為了設計出高效率的槳葉角度,係依據發動機及飛機的下列哪些特性做為基礎</v>
      </c>
      <c r="D341" s="4" t="str">
        <f>dB題庫!C56</f>
        <v>銷量和價格。</v>
      </c>
      <c r="E341" s="4" t="str">
        <f>dB題庫!D56</f>
        <v>耗油量和扭力。</v>
      </c>
      <c r="F341" s="4" t="str">
        <f>dB題庫!E56</f>
        <v>壓縮比和衝程。</v>
      </c>
      <c r="G341" s="4" t="str">
        <f>dB題庫!F56</f>
        <v>轉速和空速。</v>
      </c>
      <c r="H341" s="4" t="str">
        <f>dB題庫!G56</f>
        <v>D.</v>
      </c>
      <c r="I341" s="4" t="str">
        <f>dB題庫!H56</f>
        <v>飛機螺旋槳在原廠設計時，為了達到最佳效率的槳葉角度，主要是依據發動機的轉速以及飛機的空速作為計算基礎。由於槳葉各截面相對於空氣的旋轉速度會隨半徑不同而改變（葉尖最快、根部最慢），設計上會依據這些特性將槳葉做成扭曲狀，以維持全槳葉的最佳推力效率。</v>
      </c>
    </row>
    <row r="342" spans="1:9" s="3" customFormat="1" ht="15">
      <c r="A342" s="2" t="s">
        <v>114</v>
      </c>
      <c r="B342" s="1"/>
      <c r="C342" s="7" t="str">
        <f>"(A.)"&amp;D341</f>
        <v>(A.)銷量和價格。</v>
      </c>
      <c r="D342" s="2"/>
      <c r="E342" s="2"/>
      <c r="F342" s="2"/>
      <c r="G342" s="2"/>
      <c r="H342" s="2"/>
      <c r="I342" s="2"/>
    </row>
    <row r="343" spans="1:9" s="3" customFormat="1" ht="15">
      <c r="A343" s="2"/>
      <c r="B343" s="1"/>
      <c r="C343" s="7" t="str">
        <f>"(B.)"&amp;E341</f>
        <v>(B.)耗油量和扭力。</v>
      </c>
      <c r="D343" s="2"/>
      <c r="E343" s="2"/>
      <c r="F343" s="2"/>
      <c r="G343" s="2"/>
      <c r="H343" s="2"/>
      <c r="I343" s="2"/>
    </row>
    <row r="344" spans="1:9" s="3" customFormat="1" ht="15">
      <c r="A344" s="2"/>
      <c r="B344" s="2"/>
      <c r="C344" s="7" t="str">
        <f>"(C.)"&amp;F341</f>
        <v>(C.)壓縮比和衝程。</v>
      </c>
      <c r="D344" s="2"/>
      <c r="E344" s="2"/>
      <c r="F344" s="2"/>
      <c r="G344" s="2"/>
      <c r="H344" s="2"/>
      <c r="I344" s="2"/>
    </row>
    <row r="345" spans="1:9" s="3" customFormat="1" ht="15">
      <c r="A345" s="2"/>
      <c r="B345" s="2"/>
      <c r="C345" s="7" t="str">
        <f>"(D.)"&amp;G341</f>
        <v>(D.)轉速和空速。</v>
      </c>
      <c r="D345" s="2"/>
      <c r="E345" s="2"/>
      <c r="F345" s="2"/>
      <c r="G345" s="2"/>
      <c r="H345" s="2"/>
      <c r="I345" s="2"/>
    </row>
    <row r="346" spans="1:9" s="3" customFormat="1" ht="15">
      <c r="A346" s="2"/>
      <c r="B346" s="2"/>
      <c r="C346" s="7" t="str">
        <f>"答案是： "&amp;IF(H341="A.",C342,IF(H341="B.",C343,IF(H341="C.",C344,IF(H341=("D."),C345,"XXXX"))))</f>
        <v>答案是： (D.)轉速和空速。</v>
      </c>
      <c r="D346" s="2"/>
      <c r="E346" s="2"/>
      <c r="F346" s="2"/>
      <c r="G346" s="2"/>
      <c r="H346" s="2"/>
      <c r="I346" s="2"/>
    </row>
    <row r="347" spans="1:9" s="3" customFormat="1" ht="90">
      <c r="A347" s="2"/>
      <c r="B347" s="2"/>
      <c r="C347" s="7" t="str">
        <f>"說明："&amp;I341</f>
        <v>說明：飛機螺旋槳在原廠設計時，為了達到最佳效率的槳葉角度，主要是依據發動機的轉速以及飛機的空速作為計算基礎。由於槳葉各截面相對於空氣的旋轉速度會隨半徑不同而改變（葉尖最快、根部最慢），設計上會依據這些特性將槳葉做成扭曲狀，以維持全槳葉的最佳推力效率。</v>
      </c>
      <c r="D347" s="2"/>
      <c r="E347" s="2"/>
      <c r="F347" s="2"/>
      <c r="G347" s="2"/>
      <c r="H347" s="2"/>
      <c r="I347" s="2"/>
    </row>
    <row r="348" spans="1:9" s="3" customFormat="1" ht="75">
      <c r="A348" s="4" t="str">
        <f>dB題庫!A57</f>
        <v>56</v>
      </c>
      <c r="B348" s="4" t="str">
        <f>dB題庫!B57</f>
        <v>航空器於飛行中,在空氣裡會有下列哪種外力</v>
      </c>
      <c r="C348" s="4" t="str">
        <f>A348&amp;"."&amp;B348</f>
        <v>56.航空器於飛行中,在空氣裡會有下列哪種外力</v>
      </c>
      <c r="D348" s="4" t="str">
        <f>dB題庫!C57</f>
        <v>各種彈力。</v>
      </c>
      <c r="E348" s="4" t="str">
        <f>dB題庫!D57</f>
        <v>各種阻力。</v>
      </c>
      <c r="F348" s="4" t="str">
        <f>dB題庫!E57</f>
        <v>各種磁力。</v>
      </c>
      <c r="G348" s="4" t="str">
        <f>dB題庫!F57</f>
        <v>各種正向力。</v>
      </c>
      <c r="H348" s="4" t="str">
        <f>dB題庫!G57</f>
        <v>B.</v>
      </c>
      <c r="I348" s="4" t="str">
        <f>dB題庫!H57</f>
        <v>航空器於飛行中，在空氣裡會產生的外力是(B.) 各種阻力。阻力重點說明定義：阻力是與飛機運動方向相反的空氣動力，會阻礙航空器向前飛行。選項比較：彈力：屬於固體形變產生的力，非空氣中主要外力。磁力：來自磁場，與大氣飛行無直接關係。正向力：為接觸面之垂直分力，不符合題意中描述空氣相對運動的外力特徵。</v>
      </c>
    </row>
    <row r="349" spans="1:9" s="3" customFormat="1" ht="15">
      <c r="A349" s="2" t="s">
        <v>114</v>
      </c>
      <c r="B349" s="1"/>
      <c r="C349" s="7" t="str">
        <f>"(A.)"&amp;D348</f>
        <v>(A.)各種彈力。</v>
      </c>
      <c r="D349" s="2"/>
      <c r="E349" s="2"/>
      <c r="F349" s="2"/>
      <c r="G349" s="2"/>
      <c r="H349" s="2"/>
      <c r="I349" s="2"/>
    </row>
    <row r="350" spans="1:9" s="3" customFormat="1" ht="15">
      <c r="A350" s="2"/>
      <c r="B350" s="1"/>
      <c r="C350" s="7" t="str">
        <f>"(B.)"&amp;E348</f>
        <v>(B.)各種阻力。</v>
      </c>
      <c r="D350" s="2"/>
      <c r="E350" s="2"/>
      <c r="F350" s="2"/>
      <c r="G350" s="2"/>
      <c r="H350" s="2"/>
      <c r="I350" s="2"/>
    </row>
    <row r="351" spans="1:9" s="3" customFormat="1" ht="15">
      <c r="A351" s="2"/>
      <c r="B351" s="2"/>
      <c r="C351" s="7" t="str">
        <f>"(C.)"&amp;F348</f>
        <v>(C.)各種磁力。</v>
      </c>
      <c r="D351" s="2"/>
      <c r="E351" s="2"/>
      <c r="F351" s="2"/>
      <c r="G351" s="2"/>
      <c r="H351" s="2"/>
      <c r="I351" s="2"/>
    </row>
    <row r="352" spans="1:9" s="3" customFormat="1" ht="15">
      <c r="A352" s="2"/>
      <c r="B352" s="2"/>
      <c r="C352" s="7" t="str">
        <f>"(D.)"&amp;G348</f>
        <v>(D.)各種正向力。</v>
      </c>
      <c r="D352" s="2"/>
      <c r="E352" s="2"/>
      <c r="F352" s="2"/>
      <c r="G352" s="2"/>
      <c r="H352" s="2"/>
      <c r="I352" s="2"/>
    </row>
    <row r="353" spans="1:9" s="3" customFormat="1" ht="15">
      <c r="A353" s="2"/>
      <c r="B353" s="2"/>
      <c r="C353" s="7" t="str">
        <f>"答案是： "&amp;IF(H348="A.",C349,IF(H348="B.",C350,IF(H348="C.",C351,IF(H348=("D."),C352,"XXXX"))))</f>
        <v>答案是： (B.)各種阻力。</v>
      </c>
      <c r="D353" s="2"/>
      <c r="E353" s="2"/>
      <c r="F353" s="2"/>
      <c r="G353" s="2"/>
      <c r="H353" s="2"/>
      <c r="I353" s="2"/>
    </row>
    <row r="354" spans="1:9" s="3" customFormat="1" ht="120">
      <c r="A354" s="2"/>
      <c r="B354" s="2"/>
      <c r="C354" s="7" t="str">
        <f>"說明："&amp;I348</f>
        <v>說明：航空器於飛行中，在空氣裡會產生的外力是(B.) 各種阻力。阻力重點說明定義：阻力是與飛機運動方向相反的空氣動力，會阻礙航空器向前飛行。選項比較：彈力：屬於固體形變產生的力，非空氣中主要外力。磁力：來自磁場，與大氣飛行無直接關係。正向力：為接觸面之垂直分力，不符合題意中描述空氣相對運動的外力特徵。</v>
      </c>
      <c r="D354" s="2"/>
      <c r="E354" s="2"/>
      <c r="F354" s="2"/>
      <c r="G354" s="2"/>
      <c r="H354" s="2"/>
      <c r="I354" s="2"/>
    </row>
    <row r="355" spans="1:9" s="3" customFormat="1" ht="45">
      <c r="A355" s="4" t="str">
        <f>dB題庫!A58</f>
        <v>57</v>
      </c>
      <c r="B355" s="4" t="str">
        <f>dB題庫!B58</f>
        <v>某外力係與飛機運動方向相反的空氣動力,會阻礙飛機的前進,它是慢下列哪種外力</v>
      </c>
      <c r="C355" s="4" t="str">
        <f>A355&amp;"."&amp;B355</f>
        <v>57.某外力係與飛機運動方向相反的空氣動力,會阻礙飛機的前進,它是慢下列哪種外力</v>
      </c>
      <c r="D355" s="4" t="str">
        <f>dB題庫!C58</f>
        <v>阻力。</v>
      </c>
      <c r="E355" s="4" t="str">
        <f>dB題庫!D58</f>
        <v>升力。</v>
      </c>
      <c r="F355" s="4" t="str">
        <f>dB題庫!E58</f>
        <v>重力。</v>
      </c>
      <c r="G355" s="4" t="str">
        <f>dB題庫!F58</f>
        <v>推力。</v>
      </c>
      <c r="H355" s="4" t="str">
        <f>dB題庫!G58</f>
        <v>A.</v>
      </c>
      <c r="I355" s="4" t="str">
        <f>dB題庫!H58</f>
        <v>這個外力是(A.) 阻力。阻力是與飛機運動方向相反、會阻礙飛機前進的空氣動力。飛行阻力的分類寄生阻力：由飛機表面摩擦與形狀產生。誘導阻力：由機翼產生升力時所伴隨的阻力。</v>
      </c>
    </row>
    <row r="356" spans="1:9" s="3" customFormat="1" ht="15">
      <c r="A356" s="2" t="s">
        <v>114</v>
      </c>
      <c r="B356" s="1"/>
      <c r="C356" s="7" t="str">
        <f>"(A.)"&amp;D355</f>
        <v>(A.)阻力。</v>
      </c>
      <c r="D356" s="2"/>
      <c r="E356" s="2"/>
      <c r="F356" s="2"/>
      <c r="G356" s="2"/>
      <c r="H356" s="2"/>
      <c r="I356" s="2"/>
    </row>
    <row r="357" spans="1:9" s="3" customFormat="1" ht="15">
      <c r="A357" s="2"/>
      <c r="B357" s="1"/>
      <c r="C357" s="7" t="str">
        <f>"(B.)"&amp;E355</f>
        <v>(B.)升力。</v>
      </c>
      <c r="D357" s="2"/>
      <c r="E357" s="2"/>
      <c r="F357" s="2"/>
      <c r="G357" s="2"/>
      <c r="H357" s="2"/>
      <c r="I357" s="2"/>
    </row>
    <row r="358" spans="1:9" s="3" customFormat="1" ht="15">
      <c r="A358" s="2"/>
      <c r="B358" s="2"/>
      <c r="C358" s="7" t="str">
        <f>"(C.)"&amp;F355</f>
        <v>(C.)重力。</v>
      </c>
      <c r="D358" s="2"/>
      <c r="E358" s="2"/>
      <c r="F358" s="2"/>
      <c r="G358" s="2"/>
      <c r="H358" s="2"/>
      <c r="I358" s="2"/>
    </row>
    <row r="359" spans="1:9" s="3" customFormat="1" ht="15">
      <c r="A359" s="2"/>
      <c r="B359" s="2"/>
      <c r="C359" s="7" t="str">
        <f>"(D.)"&amp;G355</f>
        <v>(D.)推力。</v>
      </c>
      <c r="D359" s="2"/>
      <c r="E359" s="2"/>
      <c r="F359" s="2"/>
      <c r="G359" s="2"/>
      <c r="H359" s="2"/>
      <c r="I359" s="2"/>
    </row>
    <row r="360" spans="1:9" s="3" customFormat="1" ht="15">
      <c r="A360" s="2"/>
      <c r="B360" s="2"/>
      <c r="C360" s="7" t="str">
        <f>"答案是： "&amp;IF(H355="A.",C356,IF(H355="B.",C357,IF(H355="C.",C358,IF(H355=("D."),C359,"XXXX"))))</f>
        <v>答案是： (A.)阻力。</v>
      </c>
      <c r="D360" s="2"/>
      <c r="E360" s="2"/>
      <c r="F360" s="2"/>
      <c r="G360" s="2"/>
      <c r="H360" s="2"/>
      <c r="I360" s="2"/>
    </row>
    <row r="361" spans="1:9" s="3" customFormat="1" ht="75">
      <c r="A361" s="2"/>
      <c r="B361" s="2"/>
      <c r="C361" s="7" t="str">
        <f>"說明："&amp;I355</f>
        <v>說明：這個外力是(A.) 阻力。阻力是與飛機運動方向相反、會阻礙飛機前進的空氣動力。飛行阻力的分類寄生阻力：由飛機表面摩擦與形狀產生。誘導阻力：由機翼產生升力時所伴隨的阻力。</v>
      </c>
      <c r="D361" s="2"/>
      <c r="E361" s="2"/>
      <c r="F361" s="2"/>
      <c r="G361" s="2"/>
      <c r="H361" s="2"/>
      <c r="I361" s="2"/>
    </row>
    <row r="362" spans="1:9" s="3" customFormat="1" ht="120">
      <c r="A362" s="4" t="str">
        <f>dB題庫!A59</f>
        <v>58</v>
      </c>
      <c r="B362" s="4" t="str">
        <f>dB題庫!B59</f>
        <v>寄生阻力可分為下列哪幾種</v>
      </c>
      <c r="C362" s="4" t="str">
        <f>A362&amp;"."&amp;B362</f>
        <v>58.寄生阻力可分為下列哪幾種</v>
      </c>
      <c r="D362" s="4" t="str">
        <f>dB題庫!C59</f>
        <v>摩擦阻力。</v>
      </c>
      <c r="E362" s="4" t="str">
        <f>dB題庫!D59</f>
        <v>形狀阻力。</v>
      </c>
      <c r="F362" s="4" t="str">
        <f>dB題庫!E59</f>
        <v>干擾阻力。</v>
      </c>
      <c r="G362" s="4" t="str">
        <f>dB題庫!F59</f>
        <v>以上皆是。</v>
      </c>
      <c r="H362" s="4" t="str">
        <f>dB題庫!G59</f>
        <v>D.</v>
      </c>
      <c r="I362" s="4" t="str">
        <f>dB題庫!H59</f>
        <v>寄生阻力（Parasite Drag）是流體力學與航空學中的重要概念，指物體在空氣或液體中移動時，由於流體黏度與壓力差所產生的阻力。
它不參與升力的產生，其大小與飛行速度的平方呈正比。它主要由以下三部分組成：表面【摩擦阻力】（Skin Friction Drag）：空氣流經物體表面時，因空氣黏性與表面粗糙度產生的摩擦阻力。【形狀阻力】（Form Drag）：物體形狀（如迎風面積）造成的壓力差，當氣流分離並在物體後方產生亂流時形成。【干擾阻力】（Interference Drag）：飛機不同部件交接處（如機翼與機身的連接處）氣流相互干擾產生的額外阻力。</v>
      </c>
    </row>
    <row r="363" spans="1:9" s="3" customFormat="1" ht="15">
      <c r="A363" s="2" t="s">
        <v>114</v>
      </c>
      <c r="B363" s="1"/>
      <c r="C363" s="7" t="str">
        <f>"(A.)"&amp;D362</f>
        <v>(A.)摩擦阻力。</v>
      </c>
      <c r="D363" s="2"/>
      <c r="E363" s="2"/>
      <c r="F363" s="2"/>
      <c r="G363" s="2"/>
      <c r="H363" s="2"/>
      <c r="I363" s="2"/>
    </row>
    <row r="364" spans="1:9" s="3" customFormat="1" ht="15">
      <c r="A364" s="2"/>
      <c r="B364" s="1"/>
      <c r="C364" s="7" t="str">
        <f>"(B.)"&amp;E362</f>
        <v>(B.)形狀阻力。</v>
      </c>
      <c r="D364" s="2"/>
      <c r="E364" s="2"/>
      <c r="F364" s="2"/>
      <c r="G364" s="2"/>
      <c r="H364" s="2"/>
      <c r="I364" s="2"/>
    </row>
    <row r="365" spans="1:9" s="3" customFormat="1" ht="15">
      <c r="A365" s="2"/>
      <c r="B365" s="2"/>
      <c r="C365" s="7" t="str">
        <f>"(C.)"&amp;F362</f>
        <v>(C.)干擾阻力。</v>
      </c>
      <c r="D365" s="2"/>
      <c r="E365" s="2"/>
      <c r="F365" s="2"/>
      <c r="G365" s="2"/>
      <c r="H365" s="2"/>
      <c r="I365" s="2"/>
    </row>
    <row r="366" spans="1:9" s="3" customFormat="1" ht="15">
      <c r="A366" s="2"/>
      <c r="B366" s="2"/>
      <c r="C366" s="7" t="str">
        <f>"(D.)"&amp;G362</f>
        <v>(D.)以上皆是。</v>
      </c>
      <c r="D366" s="2"/>
      <c r="E366" s="2"/>
      <c r="F366" s="2"/>
      <c r="G366" s="2"/>
      <c r="H366" s="2"/>
      <c r="I366" s="2"/>
    </row>
    <row r="367" spans="1:9" s="3" customFormat="1" ht="15">
      <c r="A367" s="2"/>
      <c r="B367" s="2"/>
      <c r="C367" s="7" t="str">
        <f>"答案是： "&amp;IF(H362="A.",C363,IF(H362="B.",C364,IF(H362="C.",C365,IF(H362=("D."),C366,"XXXX"))))</f>
        <v>答案是： (D.)以上皆是。</v>
      </c>
      <c r="D367" s="2"/>
      <c r="E367" s="2"/>
      <c r="F367" s="2"/>
      <c r="G367" s="2"/>
      <c r="H367" s="2"/>
      <c r="I367" s="2"/>
    </row>
    <row r="368" spans="1:9" s="3" customFormat="1" ht="180">
      <c r="A368" s="2"/>
      <c r="B368" s="2"/>
      <c r="C368" s="7" t="str">
        <f>"說明："&amp;I362</f>
        <v>說明：寄生阻力（Parasite Drag）是流體力學與航空學中的重要概念，指物體在空氣或液體中移動時，由於流體黏度與壓力差所產生的阻力。
它不參與升力的產生，其大小與飛行速度的平方呈正比。它主要由以下三部分組成：表面【摩擦阻力】（Skin Friction Drag）：空氣流經物體表面時，因空氣黏性與表面粗糙度產生的摩擦阻力。【形狀阻力】（Form Drag）：物體形狀（如迎風面積）造成的壓力差，當氣流分離並在物體後方產生亂流時形成。【干擾阻力】（Interference Drag）：飛機不同部件交接處（如機翼與機身的連接處）氣流相互干擾產生的額外阻力。</v>
      </c>
      <c r="D368" s="2"/>
      <c r="E368" s="2"/>
      <c r="F368" s="2"/>
      <c r="G368" s="2"/>
      <c r="H368" s="2"/>
      <c r="I368" s="2"/>
    </row>
    <row r="369" spans="1:9" s="3" customFormat="1" ht="45">
      <c r="A369" s="4" t="str">
        <f>dB題庫!A60</f>
        <v>59</v>
      </c>
      <c r="B369" s="4" t="str">
        <f>dB題庫!B60</f>
        <v>對於高速遙控無人機而言,除了摩擦阻力、形狀阻力、誘導阻力和干擾阻力外,還會另外產生下列哪種阻力</v>
      </c>
      <c r="C369" s="4" t="str">
        <f>A369&amp;"."&amp;B369</f>
        <v>59.對於高速遙控無人機而言,除了摩擦阻力、形狀阻力、誘導阻力和干擾阻力外,還會另外產生下列哪種阻力</v>
      </c>
      <c r="D369" s="4" t="str">
        <f>dB題庫!C60</f>
        <v>震波阻力。</v>
      </c>
      <c r="E369" s="4" t="str">
        <f>dB題庫!D60</f>
        <v>布斯曼阻力。</v>
      </c>
      <c r="F369" s="4" t="str">
        <f>dB題庫!E60</f>
        <v>達倫伯特阻力。</v>
      </c>
      <c r="G369" s="4" t="str">
        <f>dB題庫!F60</f>
        <v>雷諾阻力。</v>
      </c>
      <c r="H369" s="4" t="str">
        <f>dB題庫!G60</f>
        <v>A.</v>
      </c>
      <c r="I369" s="4" t="str">
        <f>dB題庫!H60</f>
        <v>摩擦阻力是由於空氣的粘性(Viscosity)引起的。空氣流經飛行器表面時會產生剪切應力，表面越粗糙、與空氣接觸的表面積越大、空氣粘性越高，摩擦阻力就越大。</v>
      </c>
    </row>
    <row r="370" spans="1:9" s="3" customFormat="1" ht="15">
      <c r="A370" s="2" t="s">
        <v>114</v>
      </c>
      <c r="B370" s="1"/>
      <c r="C370" s="7" t="str">
        <f>"(A.)"&amp;D369</f>
        <v>(A.)震波阻力。</v>
      </c>
      <c r="D370" s="2"/>
      <c r="E370" s="2"/>
      <c r="F370" s="2"/>
      <c r="G370" s="2"/>
      <c r="H370" s="2"/>
      <c r="I370" s="2"/>
    </row>
    <row r="371" spans="1:9" s="3" customFormat="1" ht="15">
      <c r="A371" s="2"/>
      <c r="B371" s="1"/>
      <c r="C371" s="7" t="str">
        <f>"(B.)"&amp;E369</f>
        <v>(B.)布斯曼阻力。</v>
      </c>
      <c r="D371" s="2"/>
      <c r="E371" s="2"/>
      <c r="F371" s="2"/>
      <c r="G371" s="2"/>
      <c r="H371" s="2"/>
      <c r="I371" s="2"/>
    </row>
    <row r="372" spans="1:9" s="3" customFormat="1" ht="15">
      <c r="A372" s="2"/>
      <c r="B372" s="2"/>
      <c r="C372" s="7" t="str">
        <f>"(C.)"&amp;F369</f>
        <v>(C.)達倫伯特阻力。</v>
      </c>
      <c r="D372" s="2"/>
      <c r="E372" s="2"/>
      <c r="F372" s="2"/>
      <c r="G372" s="2"/>
      <c r="H372" s="2"/>
      <c r="I372" s="2"/>
    </row>
    <row r="373" spans="1:9" s="3" customFormat="1" ht="15">
      <c r="A373" s="2"/>
      <c r="B373" s="2"/>
      <c r="C373" s="7" t="str">
        <f>"(D.)"&amp;G369</f>
        <v>(D.)雷諾阻力。</v>
      </c>
      <c r="D373" s="2"/>
      <c r="E373" s="2"/>
      <c r="F373" s="2"/>
      <c r="G373" s="2"/>
      <c r="H373" s="2"/>
      <c r="I373" s="2"/>
    </row>
    <row r="374" spans="1:9" s="3" customFormat="1" ht="15">
      <c r="A374" s="2"/>
      <c r="B374" s="2"/>
      <c r="C374" s="7" t="str">
        <f>"答案是： "&amp;IF(H369="A.",C370,IF(H369="B.",C371,IF(H369="C.",C372,IF(H369=("D."),C373,"XXXX"))))</f>
        <v>答案是： (A.)震波阻力。</v>
      </c>
      <c r="D374" s="2"/>
      <c r="E374" s="2"/>
      <c r="F374" s="2"/>
      <c r="G374" s="2"/>
      <c r="H374" s="2"/>
      <c r="I374" s="2"/>
    </row>
    <row r="375" spans="1:9" s="3" customFormat="1" ht="60">
      <c r="A375" s="2"/>
      <c r="B375" s="2"/>
      <c r="C375" s="7" t="str">
        <f>"說明："&amp;I369</f>
        <v>說明：摩擦阻力是由於空氣的粘性(Viscosity)引起的。空氣流經飛行器表面時會產生剪切應力，表面越粗糙、與空氣接觸的表面積越大、空氣粘性越高，摩擦阻力就越大。</v>
      </c>
      <c r="D375" s="2"/>
      <c r="E375" s="2"/>
      <c r="F375" s="2"/>
      <c r="G375" s="2"/>
      <c r="H375" s="2"/>
      <c r="I375" s="2"/>
    </row>
    <row r="376" spans="1:9" s="3" customFormat="1" ht="45">
      <c r="A376" s="4" t="str">
        <f>dB題庫!A61</f>
        <v>60</v>
      </c>
      <c r="B376" s="4" t="str">
        <f>dB題庫!B61</f>
        <v>下列哪個項目是空氣產生摩擦力的主要物理特性</v>
      </c>
      <c r="C376" s="4" t="str">
        <f>A376&amp;"."&amp;B376</f>
        <v>60.下列哪個項目是空氣產生摩擦力的主要物理特性</v>
      </c>
      <c r="D376" s="4" t="str">
        <f>dB題庫!C61</f>
        <v>粘性。</v>
      </c>
      <c r="E376" s="4" t="str">
        <f>dB題庫!D61</f>
        <v>低汙染。</v>
      </c>
      <c r="F376" s="4" t="str">
        <f>dB題庫!E61</f>
        <v>PM2.5。</v>
      </c>
      <c r="G376" s="4" t="str">
        <f>dB題庫!F61</f>
        <v>高揮發性。</v>
      </c>
      <c r="H376" s="4" t="str">
        <f>dB題庫!G61</f>
        <v>A.</v>
      </c>
      <c r="I376" s="4" t="str">
        <f>dB題庫!H61</f>
        <v>摩擦阻力是由於空氣的粘性(Viscosity)引起的。空氣流經飛行器表面時會產生剪切應力，表面越粗糙、與空氣接觸的表面積越大、空氣粘性越高，摩擦阻力就越大。</v>
      </c>
    </row>
    <row r="377" spans="1:9" s="3" customFormat="1" ht="15">
      <c r="A377" s="2" t="s">
        <v>114</v>
      </c>
      <c r="B377" s="1"/>
      <c r="C377" s="7" t="str">
        <f>"(A.)"&amp;D376</f>
        <v>(A.)粘性。</v>
      </c>
      <c r="D377" s="2"/>
      <c r="E377" s="2"/>
      <c r="F377" s="2"/>
      <c r="G377" s="2"/>
      <c r="H377" s="2"/>
      <c r="I377" s="2"/>
    </row>
    <row r="378" spans="1:9" s="3" customFormat="1" ht="15">
      <c r="A378" s="2"/>
      <c r="B378" s="1"/>
      <c r="C378" s="7" t="str">
        <f>"(B.)"&amp;E376</f>
        <v>(B.)低汙染。</v>
      </c>
      <c r="D378" s="2"/>
      <c r="E378" s="2"/>
      <c r="F378" s="2"/>
      <c r="G378" s="2"/>
      <c r="H378" s="2"/>
      <c r="I378" s="2"/>
    </row>
    <row r="379" spans="1:9" s="3" customFormat="1" ht="15">
      <c r="A379" s="2"/>
      <c r="B379" s="2"/>
      <c r="C379" s="7" t="str">
        <f>"(C.)"&amp;F376</f>
        <v>(C.)PM2.5。</v>
      </c>
      <c r="D379" s="2"/>
      <c r="E379" s="2"/>
      <c r="F379" s="2"/>
      <c r="G379" s="2"/>
      <c r="H379" s="2"/>
      <c r="I379" s="2"/>
    </row>
    <row r="380" spans="1:9" s="3" customFormat="1" ht="15">
      <c r="A380" s="2"/>
      <c r="B380" s="2"/>
      <c r="C380" s="7" t="str">
        <f>"(D.)"&amp;G376</f>
        <v>(D.)高揮發性。</v>
      </c>
      <c r="D380" s="2"/>
      <c r="E380" s="2"/>
      <c r="F380" s="2"/>
      <c r="G380" s="2"/>
      <c r="H380" s="2"/>
      <c r="I380" s="2"/>
    </row>
    <row r="381" spans="1:9" s="3" customFormat="1" ht="15">
      <c r="A381" s="2"/>
      <c r="B381" s="2"/>
      <c r="C381" s="7" t="str">
        <f>"答案是： "&amp;IF(H376="A.",C377,IF(H376="B.",C378,IF(H376="C.",C379,IF(H376=("D."),C380,"XXXX"))))</f>
        <v>答案是： (A.)粘性。</v>
      </c>
      <c r="D381" s="2"/>
      <c r="E381" s="2"/>
      <c r="F381" s="2"/>
      <c r="G381" s="2"/>
      <c r="H381" s="2"/>
      <c r="I381" s="2"/>
    </row>
    <row r="382" spans="1:9" s="3" customFormat="1" ht="60">
      <c r="A382" s="2"/>
      <c r="B382" s="2"/>
      <c r="C382" s="7" t="str">
        <f>"說明："&amp;I376</f>
        <v>說明：摩擦阻力是由於空氣的粘性(Viscosity)引起的。空氣流經飛行器表面時會產生剪切應力，表面越粗糙、與空氣接觸的表面積越大、空氣粘性越高，摩擦阻力就越大。</v>
      </c>
      <c r="D382" s="2"/>
      <c r="E382" s="2"/>
      <c r="F382" s="2"/>
      <c r="G382" s="2"/>
      <c r="H382" s="2"/>
      <c r="I382" s="2"/>
    </row>
    <row r="383" spans="1:9" s="3" customFormat="1" ht="90">
      <c r="A383" s="4" t="str">
        <f>dB題庫!A62</f>
        <v>61</v>
      </c>
      <c r="B383" s="4" t="str">
        <f>dB題庫!B62</f>
        <v>空氣流經飛機表面發生摩擦,產生一個阻止飛機前進的力,這個力就是下列哪種阻力</v>
      </c>
      <c r="C383" s="4" t="str">
        <f>A383&amp;"."&amp;B383</f>
        <v>61.空氣流經飛機表面發生摩擦,產生一個阻止飛機前進的力,這個力就是下列哪種阻力</v>
      </c>
      <c r="D383" s="4" t="str">
        <f>dB題庫!C62</f>
        <v>形狀阻力。</v>
      </c>
      <c r="E383" s="4" t="str">
        <f>dB題庫!D62</f>
        <v>誘導阻力。</v>
      </c>
      <c r="F383" s="4" t="str">
        <f>dB題庫!E62</f>
        <v>摩擦阻力.</v>
      </c>
      <c r="G383" s="4" t="str">
        <f>dB題庫!F62</f>
        <v>干擾阻力。</v>
      </c>
      <c r="H383" s="4" t="str">
        <f>dB題庫!G62</f>
        <v>C.</v>
      </c>
      <c r="I383" s="4" t="str">
        <f>dB題庫!H62</f>
        <v>此題考查基礎空氣動力學與無人機系統設計規範。無人機之重量與重心平衡(W&amp;B.)是確保飛航安全與操作性能符合原廠諸元的核心關鍵，飛行前操作人必須精確掌握並確認其皆處於安全審慎的合理限制內。
《》空氣流經飛機表面時，因空氣的黏性與機身表面產生作用而產生的阻力，稱為摩擦阻力（Skin Friction Drag）。它屬於寄生阻力的一種，大小取決於空氣的黏度、飛機表面的粗糙度，以及與空氣接觸的表面積大小。</v>
      </c>
    </row>
    <row r="384" spans="1:9" s="3" customFormat="1" ht="15">
      <c r="A384" s="2" t="s">
        <v>114</v>
      </c>
      <c r="B384" s="1"/>
      <c r="C384" s="7" t="str">
        <f>"(A.)"&amp;D383</f>
        <v>(A.)形狀阻力。</v>
      </c>
      <c r="D384" s="2"/>
      <c r="E384" s="2"/>
      <c r="F384" s="2"/>
      <c r="G384" s="2"/>
      <c r="H384" s="2"/>
      <c r="I384" s="2"/>
    </row>
    <row r="385" spans="1:9" s="3" customFormat="1" ht="15">
      <c r="A385" s="2"/>
      <c r="B385" s="1"/>
      <c r="C385" s="7" t="str">
        <f>"(B.)"&amp;E383</f>
        <v>(B.)誘導阻力。</v>
      </c>
      <c r="D385" s="2"/>
      <c r="E385" s="2"/>
      <c r="F385" s="2"/>
      <c r="G385" s="2"/>
      <c r="H385" s="2"/>
      <c r="I385" s="2"/>
    </row>
    <row r="386" spans="1:9" s="3" customFormat="1" ht="15">
      <c r="A386" s="2"/>
      <c r="B386" s="2"/>
      <c r="C386" s="7" t="str">
        <f>"(C.)"&amp;F383</f>
        <v>(C.)摩擦阻力.</v>
      </c>
      <c r="D386" s="2"/>
      <c r="E386" s="2"/>
      <c r="F386" s="2"/>
      <c r="G386" s="2"/>
      <c r="H386" s="2"/>
      <c r="I386" s="2"/>
    </row>
    <row r="387" spans="1:9" s="3" customFormat="1" ht="15">
      <c r="A387" s="2"/>
      <c r="B387" s="2"/>
      <c r="C387" s="7" t="str">
        <f>"(D.)"&amp;G383</f>
        <v>(D.)干擾阻力。</v>
      </c>
      <c r="D387" s="2"/>
      <c r="E387" s="2"/>
      <c r="F387" s="2"/>
      <c r="G387" s="2"/>
      <c r="H387" s="2"/>
      <c r="I387" s="2"/>
    </row>
    <row r="388" spans="1:9" s="3" customFormat="1" ht="15">
      <c r="A388" s="2"/>
      <c r="B388" s="2"/>
      <c r="C388" s="7" t="str">
        <f>"答案是： "&amp;IF(H383="A.",C384,IF(H383="B.",C385,IF(H383="C.",C386,IF(H383=("D."),C387,"XXXX"))))</f>
        <v>答案是： (C.)摩擦阻力.</v>
      </c>
      <c r="D388" s="2"/>
      <c r="E388" s="2"/>
      <c r="F388" s="2"/>
      <c r="G388" s="2"/>
      <c r="H388" s="2"/>
      <c r="I388" s="2"/>
    </row>
    <row r="389" spans="1:9" s="3" customFormat="1" ht="150">
      <c r="A389" s="2"/>
      <c r="B389" s="2"/>
      <c r="C389" s="7" t="str">
        <f>"說明："&amp;I383</f>
        <v>說明：此題考查基礎空氣動力學與無人機系統設計規範。無人機之重量與重心平衡(W&amp;B.)是確保飛航安全與操作性能符合原廠諸元的核心關鍵，飛行前操作人必須精確掌握並確認其皆處於安全審慎的合理限制內。
《》空氣流經飛機表面時，因空氣的黏性與機身表面產生作用而產生的阻力，稱為摩擦阻力（Skin Friction Drag）。它屬於寄生阻力的一種，大小取決於空氣的黏度、飛機表面的粗糙度，以及與空氣接觸的表面積大小。</v>
      </c>
      <c r="D389" s="2"/>
      <c r="E389" s="2"/>
      <c r="F389" s="2"/>
      <c r="G389" s="2"/>
      <c r="H389" s="2"/>
      <c r="I389" s="2"/>
    </row>
    <row r="390" spans="1:9" s="3" customFormat="1" ht="120">
      <c r="A390" s="4" t="str">
        <f>dB題庫!A63</f>
        <v>62</v>
      </c>
      <c r="B390" s="4" t="str">
        <f>dB題庫!B63</f>
        <v>摩擦阻力的大小,決定於下列哪個特性</v>
      </c>
      <c r="C390" s="4" t="str">
        <f>A390&amp;"."&amp;B390</f>
        <v>62.摩擦阻力的大小,決定於下列哪個特性</v>
      </c>
      <c r="D390" s="4" t="str">
        <f>dB題庫!C63</f>
        <v>空氣的粘性。</v>
      </c>
      <c r="E390" s="4" t="str">
        <f>dB題庫!D63</f>
        <v>飛機的表面狀況。</v>
      </c>
      <c r="F390" s="4" t="str">
        <f>dB題庫!E63</f>
        <v>同空氣相接觸的飛機表面積。</v>
      </c>
      <c r="G390" s="4" t="str">
        <f>dB題庫!F63</f>
        <v>以上皆是。</v>
      </c>
      <c r="H390" s="4" t="str">
        <f>dB題庫!G63</f>
        <v>D.</v>
      </c>
      <c r="I390" s="4" t="str">
        <f>dB題庫!H63</f>
        <v>摩擦阻力是由於空氣的粘性(Viscosity)引起的。空氣流經飛行器表面時會產生剪切應力，表面越粗糙、與空氣接觸的表面積越大、空氣粘性越高，摩擦阻力就越大。
當我們在探討空氣動力學或流體力學中的「摩擦阻力」時，其大小主要決定於三個特性：空氣的黏性、物體的表面狀況（光滑度），以及與空氣相接觸的物體表面積。具體影響如下：空氣的黏性：黏性越大，產生的摩擦阻力越大。物體表面狀況：表面越粗糙，產生的摩擦阻力越大。接觸表面積：與流體（如空氣）接觸的表面積越大，摩擦阻力越大。</v>
      </c>
    </row>
    <row r="391" spans="1:9" s="3" customFormat="1" ht="15">
      <c r="A391" s="2" t="s">
        <v>114</v>
      </c>
      <c r="B391" s="1"/>
      <c r="C391" s="7" t="str">
        <f>"(A.)"&amp;D390</f>
        <v>(A.)空氣的粘性。</v>
      </c>
      <c r="D391" s="2"/>
      <c r="E391" s="2"/>
      <c r="F391" s="2"/>
      <c r="G391" s="2"/>
      <c r="H391" s="2"/>
      <c r="I391" s="2"/>
    </row>
    <row r="392" spans="1:9" s="3" customFormat="1" ht="15">
      <c r="A392" s="2"/>
      <c r="B392" s="1"/>
      <c r="C392" s="7" t="str">
        <f>"(B.)"&amp;E390</f>
        <v>(B.)飛機的表面狀況。</v>
      </c>
      <c r="D392" s="2"/>
      <c r="E392" s="2"/>
      <c r="F392" s="2"/>
      <c r="G392" s="2"/>
      <c r="H392" s="2"/>
      <c r="I392" s="2"/>
    </row>
    <row r="393" spans="1:9" s="3" customFormat="1" ht="15">
      <c r="A393" s="2"/>
      <c r="B393" s="2"/>
      <c r="C393" s="7" t="str">
        <f>"(C.)"&amp;F390</f>
        <v>(C.)同空氣相接觸的飛機表面積。</v>
      </c>
      <c r="D393" s="2"/>
      <c r="E393" s="2"/>
      <c r="F393" s="2"/>
      <c r="G393" s="2"/>
      <c r="H393" s="2"/>
      <c r="I393" s="2"/>
    </row>
    <row r="394" spans="1:9" s="3" customFormat="1" ht="15">
      <c r="A394" s="2"/>
      <c r="B394" s="2"/>
      <c r="C394" s="7" t="str">
        <f>"(D.)"&amp;G390</f>
        <v>(D.)以上皆是。</v>
      </c>
      <c r="D394" s="2"/>
      <c r="E394" s="2"/>
      <c r="F394" s="2"/>
      <c r="G394" s="2"/>
      <c r="H394" s="2"/>
      <c r="I394" s="2"/>
    </row>
    <row r="395" spans="1:9" s="3" customFormat="1" ht="15">
      <c r="A395" s="2"/>
      <c r="B395" s="2"/>
      <c r="C395" s="7" t="str">
        <f>"答案是： "&amp;IF(H390="A.",C391,IF(H390="B.",C392,IF(H390="C.",C393,IF(H390=("D."),C394,"XXXX"))))</f>
        <v>答案是： (D.)以上皆是。</v>
      </c>
      <c r="D395" s="2"/>
      <c r="E395" s="2"/>
      <c r="F395" s="2"/>
      <c r="G395" s="2"/>
      <c r="H395" s="2"/>
      <c r="I395" s="2"/>
    </row>
    <row r="396" spans="1:9" s="3" customFormat="1" ht="180">
      <c r="A396" s="2"/>
      <c r="B396" s="2"/>
      <c r="C396" s="7" t="str">
        <f>"說明："&amp;I390</f>
        <v>說明：摩擦阻力是由於空氣的粘性(Viscosity)引起的。空氣流經飛行器表面時會產生剪切應力，表面越粗糙、與空氣接觸的表面積越大、空氣粘性越高，摩擦阻力就越大。
當我們在探討空氣動力學或流體力學中的「摩擦阻力」時，其大小主要決定於三個特性：空氣的黏性、物體的表面狀況（光滑度），以及與空氣相接觸的物體表面積。具體影響如下：空氣的黏性：黏性越大，產生的摩擦阻力越大。物體表面狀況：表面越粗糙，產生的摩擦阻力越大。接觸表面積：與流體（如空氣）接觸的表面積越大，摩擦阻力越大。</v>
      </c>
      <c r="D396" s="2"/>
      <c r="E396" s="2"/>
      <c r="F396" s="2"/>
      <c r="G396" s="2"/>
      <c r="H396" s="2"/>
      <c r="I396" s="2"/>
    </row>
    <row r="397" spans="1:9" s="3" customFormat="1" ht="105">
      <c r="A397" s="4" t="str">
        <f>dB題庫!A64</f>
        <v>63</v>
      </c>
      <c r="B397" s="4" t="str">
        <f>dB題庫!B64</f>
        <v>空氣粘性越大,摩擦阻力就會有下列哪種變化</v>
      </c>
      <c r="C397" s="4" t="str">
        <f>A397&amp;"."&amp;B397</f>
        <v>63.空氣粘性越大,摩擦阻力就會有下列哪種變化</v>
      </c>
      <c r="D397" s="4" t="str">
        <f>dB題庫!C64</f>
        <v>越小。</v>
      </c>
      <c r="E397" s="4" t="str">
        <f>dB題庫!D64</f>
        <v>越大。</v>
      </c>
      <c r="F397" s="4" t="str">
        <f>dB題庫!E64</f>
        <v>不變。</v>
      </c>
      <c r="G397" s="4" t="str">
        <f>dB題庫!F64</f>
        <v>以上皆非。</v>
      </c>
      <c r="H397" s="4" t="str">
        <f>dB題庫!G64</f>
        <v>B.</v>
      </c>
      <c r="I397" s="4" t="str">
        <f>dB題庫!H64</f>
        <v>摩擦阻力是由於空氣的粘性(Viscosity)引起的。空氣流經飛行器表面時會產生剪切應力，表面越粗糙、與空氣接觸的表面積越大、空氣粘性越高，摩擦阻力就越大。
空氣粘性越大，摩擦阻力就會變得越大。當氣體（或液體）流過物體表面時，由於流體本身的粘滯特性，會產生阻礙物體前進的摩擦力。根據基礎飛行原理，摩擦阻力的大小主要取決於空氣粘性、物體表面粗糙度以及與空氣接觸的表面積；這三項數值與摩擦阻力皆成正比。</v>
      </c>
    </row>
    <row r="398" spans="1:9" s="3" customFormat="1" ht="15">
      <c r="A398" s="2" t="s">
        <v>114</v>
      </c>
      <c r="B398" s="1"/>
      <c r="C398" s="7" t="str">
        <f>"(A.)"&amp;D397</f>
        <v>(A.)越小。</v>
      </c>
      <c r="D398" s="2"/>
      <c r="E398" s="2"/>
      <c r="F398" s="2"/>
      <c r="G398" s="2"/>
      <c r="H398" s="2"/>
      <c r="I398" s="2"/>
    </row>
    <row r="399" spans="1:9" s="3" customFormat="1" ht="15">
      <c r="A399" s="2"/>
      <c r="B399" s="1"/>
      <c r="C399" s="7" t="str">
        <f>"(B.)"&amp;E397</f>
        <v>(B.)越大。</v>
      </c>
      <c r="D399" s="2"/>
      <c r="E399" s="2"/>
      <c r="F399" s="2"/>
      <c r="G399" s="2"/>
      <c r="H399" s="2"/>
      <c r="I399" s="2"/>
    </row>
    <row r="400" spans="1:9" s="3" customFormat="1" ht="15">
      <c r="A400" s="2"/>
      <c r="B400" s="2"/>
      <c r="C400" s="7" t="str">
        <f>"(C.)"&amp;F397</f>
        <v>(C.)不變。</v>
      </c>
      <c r="D400" s="2"/>
      <c r="E400" s="2"/>
      <c r="F400" s="2"/>
      <c r="G400" s="2"/>
      <c r="H400" s="2"/>
      <c r="I400" s="2"/>
    </row>
    <row r="401" spans="1:9" s="3" customFormat="1" ht="15">
      <c r="A401" s="2"/>
      <c r="B401" s="2"/>
      <c r="C401" s="7" t="str">
        <f>"(D.)"&amp;G397</f>
        <v>(D.)以上皆非。</v>
      </c>
      <c r="D401" s="2"/>
      <c r="E401" s="2"/>
      <c r="F401" s="2"/>
      <c r="G401" s="2"/>
      <c r="H401" s="2"/>
      <c r="I401" s="2"/>
    </row>
    <row r="402" spans="1:9" s="3" customFormat="1" ht="15">
      <c r="A402" s="2"/>
      <c r="B402" s="2"/>
      <c r="C402" s="7" t="str">
        <f>"答案是： "&amp;IF(H397="A.",C398,IF(H397="B.",C399,IF(H397="C.",C400,IF(H397=("D."),C401,"XXXX"))))</f>
        <v>答案是： (B.)越大。</v>
      </c>
      <c r="D402" s="2"/>
      <c r="E402" s="2"/>
      <c r="F402" s="2"/>
      <c r="G402" s="2"/>
      <c r="H402" s="2"/>
      <c r="I402" s="2"/>
    </row>
    <row r="403" spans="1:9" s="3" customFormat="1" ht="150">
      <c r="A403" s="2"/>
      <c r="B403" s="2"/>
      <c r="C403" s="7" t="str">
        <f>"說明："&amp;I397</f>
        <v>說明：摩擦阻力是由於空氣的粘性(Viscosity)引起的。空氣流經飛行器表面時會產生剪切應力，表面越粗糙、與空氣接觸的表面積越大、空氣粘性越高，摩擦阻力就越大。
空氣粘性越大，摩擦阻力就會變得越大。當氣體（或液體）流過物體表面時，由於流體本身的粘滯特性，會產生阻礙物體前進的摩擦力。根據基礎飛行原理，摩擦阻力的大小主要取決於空氣粘性、物體表面粗糙度以及與空氣接觸的表面積；這三項數值與摩擦阻力皆成正比。</v>
      </c>
      <c r="D403" s="2"/>
      <c r="E403" s="2"/>
      <c r="F403" s="2"/>
      <c r="G403" s="2"/>
      <c r="H403" s="2"/>
      <c r="I403" s="2"/>
    </row>
    <row r="404" spans="1:9" s="3" customFormat="1" ht="105">
      <c r="A404" s="4" t="str">
        <f>dB題庫!A65</f>
        <v>64</v>
      </c>
      <c r="B404" s="4" t="str">
        <f>dB題庫!B65</f>
        <v>飛機表面越粗糙,摩擦阻力就會有下列哪種變化</v>
      </c>
      <c r="C404" s="4" t="str">
        <f>A404&amp;"."&amp;B404</f>
        <v>64.飛機表面越粗糙,摩擦阻力就會有下列哪種變化</v>
      </c>
      <c r="D404" s="4" t="str">
        <f>dB題庫!C65</f>
        <v>越小。</v>
      </c>
      <c r="E404" s="4" t="str">
        <f>dB題庫!D65</f>
        <v>不變。</v>
      </c>
      <c r="F404" s="4" t="str">
        <f>dB題庫!E65</f>
        <v>越大。</v>
      </c>
      <c r="G404" s="4" t="str">
        <f>dB題庫!F65</f>
        <v>以上皆非。</v>
      </c>
      <c r="H404" s="4" t="str">
        <f>dB題庫!G65</f>
        <v>C.</v>
      </c>
      <c r="I404" s="4" t="str">
        <f>dB題庫!H65</f>
        <v>摩擦阻力是由於空氣的粘性(Viscosity)引起的。空氣流經飛行器表面時會產生剪切應力，表面越粗糙、與空氣接觸的表面積越大、空氣粘性越高，摩擦阻力就越大。
飛機表面越粗糙，其摩擦阻力就會越大。根據航空飛行原理，當空氣流經飛機表面時，由於空氣具有黏性，會產生阻礙飛機前進的摩擦阻力。飛機表面若越粗糙，緊貼表面的氣流越容易產生亂流，導致摩擦阻力增加。為了減少此阻力，飛機通常會保持表面平滑、乾淨，並使用埋頭鉚釘以維持表面流暢。</v>
      </c>
    </row>
    <row r="405" spans="1:9" s="3" customFormat="1" ht="15">
      <c r="A405" s="2" t="s">
        <v>114</v>
      </c>
      <c r="B405" s="1"/>
      <c r="C405" s="7" t="str">
        <f>"(A.)"&amp;D404</f>
        <v>(A.)越小。</v>
      </c>
      <c r="D405" s="2"/>
      <c r="E405" s="2"/>
      <c r="F405" s="2"/>
      <c r="G405" s="2"/>
      <c r="H405" s="2"/>
      <c r="I405" s="2"/>
    </row>
    <row r="406" spans="1:9" s="3" customFormat="1" ht="15">
      <c r="A406" s="2"/>
      <c r="B406" s="1"/>
      <c r="C406" s="7" t="str">
        <f>"(B.)"&amp;E404</f>
        <v>(B.)不變。</v>
      </c>
      <c r="D406" s="2"/>
      <c r="E406" s="2"/>
      <c r="F406" s="2"/>
      <c r="G406" s="2"/>
      <c r="H406" s="2"/>
      <c r="I406" s="2"/>
    </row>
    <row r="407" spans="1:9" s="3" customFormat="1" ht="15">
      <c r="A407" s="2"/>
      <c r="B407" s="2"/>
      <c r="C407" s="7" t="str">
        <f>"(C.)"&amp;F404</f>
        <v>(C.)越大。</v>
      </c>
      <c r="D407" s="2"/>
      <c r="E407" s="2"/>
      <c r="F407" s="2"/>
      <c r="G407" s="2"/>
      <c r="H407" s="2"/>
      <c r="I407" s="2"/>
    </row>
    <row r="408" spans="1:9" s="3" customFormat="1" ht="15">
      <c r="A408" s="2"/>
      <c r="B408" s="2"/>
      <c r="C408" s="7" t="str">
        <f>"(D.)"&amp;G404</f>
        <v>(D.)以上皆非。</v>
      </c>
      <c r="D408" s="2"/>
      <c r="E408" s="2"/>
      <c r="F408" s="2"/>
      <c r="G408" s="2"/>
      <c r="H408" s="2"/>
      <c r="I408" s="2"/>
    </row>
    <row r="409" spans="1:9" s="3" customFormat="1" ht="15">
      <c r="A409" s="2"/>
      <c r="B409" s="2"/>
      <c r="C409" s="7" t="str">
        <f>"答案是： "&amp;IF(H404="A.",C405,IF(H404="B.",C406,IF(H404="C.",C407,IF(H404=("D."),C408,"XXXX"))))</f>
        <v>答案是： (C.)越大。</v>
      </c>
      <c r="D409" s="2"/>
      <c r="E409" s="2"/>
      <c r="F409" s="2"/>
      <c r="G409" s="2"/>
      <c r="H409" s="2"/>
      <c r="I409" s="2"/>
    </row>
    <row r="410" spans="1:9" s="3" customFormat="1" ht="165">
      <c r="A410" s="2"/>
      <c r="B410" s="2"/>
      <c r="C410" s="7" t="str">
        <f>"說明："&amp;I404</f>
        <v>說明：摩擦阻力是由於空氣的粘性(Viscosity)引起的。空氣流經飛行器表面時會產生剪切應力，表面越粗糙、與空氣接觸的表面積越大、空氣粘性越高，摩擦阻力就越大。
飛機表面越粗糙，其摩擦阻力就會越大。根據航空飛行原理，當空氣流經飛機表面時，由於空氣具有黏性，會產生阻礙飛機前進的摩擦阻力。飛機表面若越粗糙，緊貼表面的氣流越容易產生亂流，導致摩擦阻力增加。為了減少此阻力，飛機通常會保持表面平滑、乾淨，並使用埋頭鉚釘以維持表面流暢。</v>
      </c>
      <c r="D410" s="2"/>
      <c r="E410" s="2"/>
      <c r="F410" s="2"/>
      <c r="G410" s="2"/>
      <c r="H410" s="2"/>
      <c r="I410" s="2"/>
    </row>
    <row r="411" spans="1:9" s="3" customFormat="1" ht="105">
      <c r="A411" s="4" t="str">
        <f>dB題庫!A66</f>
        <v>65</v>
      </c>
      <c r="B411" s="4" t="str">
        <f>dB題庫!B66</f>
        <v>飛機表面積越大,摩擦阻力就會有下列哪種變化</v>
      </c>
      <c r="C411" s="4" t="str">
        <f>A411&amp;"."&amp;B411</f>
        <v>65.飛機表面積越大,摩擦阻力就會有下列哪種變化</v>
      </c>
      <c r="D411" s="4" t="str">
        <f>dB題庫!C66</f>
        <v>越大。</v>
      </c>
      <c r="E411" s="4" t="str">
        <f>dB題庫!D66</f>
        <v>越小。</v>
      </c>
      <c r="F411" s="4" t="str">
        <f>dB題庫!E66</f>
        <v>不變。</v>
      </c>
      <c r="G411" s="4" t="str">
        <f>dB題庫!F66</f>
        <v>以上皆非。</v>
      </c>
      <c r="H411" s="4" t="str">
        <f>dB題庫!G66</f>
        <v>A.</v>
      </c>
      <c r="I411" s="4" t="str">
        <f>dB題庫!H66</f>
        <v>摩擦阻力是由於空氣的粘性(Viscosity)引起的。空氣流經飛行器表面時會產生剪切應力，表面越粗糙、與空氣接觸的表面積越大、空氣粘性越高，摩擦阻力就越大。
飛機表面積越大，摩擦阻力就會變大。根據航空飛行原理，當空氣流過飛機表面時，由於空氣的黏性會產生阻礙飛機前進的摩擦力。摩擦阻力的大小主要取決於三個因素：空氣黏性、表面粗糙度，以及飛機與空氣接觸的表面積。因此，當接觸面積增加時，摩擦阻力也會隨之升高。</v>
      </c>
    </row>
    <row r="412" spans="1:9" s="3" customFormat="1" ht="15">
      <c r="A412" s="2" t="s">
        <v>114</v>
      </c>
      <c r="B412" s="1"/>
      <c r="C412" s="7" t="str">
        <f>"(A.)"&amp;D411</f>
        <v>(A.)越大。</v>
      </c>
      <c r="D412" s="2"/>
      <c r="E412" s="2"/>
      <c r="F412" s="2"/>
      <c r="G412" s="2"/>
      <c r="H412" s="2"/>
      <c r="I412" s="2"/>
    </row>
    <row r="413" spans="1:9" s="3" customFormat="1" ht="15">
      <c r="A413" s="2"/>
      <c r="B413" s="1"/>
      <c r="C413" s="7" t="str">
        <f>"(B.)"&amp;E411</f>
        <v>(B.)越小。</v>
      </c>
      <c r="D413" s="2"/>
      <c r="E413" s="2"/>
      <c r="F413" s="2"/>
      <c r="G413" s="2"/>
      <c r="H413" s="2"/>
      <c r="I413" s="2"/>
    </row>
    <row r="414" spans="1:9" s="3" customFormat="1" ht="15">
      <c r="A414" s="2"/>
      <c r="B414" s="2"/>
      <c r="C414" s="7" t="str">
        <f>"(C.)"&amp;F411</f>
        <v>(C.)不變。</v>
      </c>
      <c r="D414" s="2"/>
      <c r="E414" s="2"/>
      <c r="F414" s="2"/>
      <c r="G414" s="2"/>
      <c r="H414" s="2"/>
      <c r="I414" s="2"/>
    </row>
    <row r="415" spans="1:9" s="3" customFormat="1" ht="15">
      <c r="A415" s="2"/>
      <c r="B415" s="2"/>
      <c r="C415" s="7" t="str">
        <f>"(D.)"&amp;G411</f>
        <v>(D.)以上皆非。</v>
      </c>
      <c r="D415" s="2"/>
      <c r="E415" s="2"/>
      <c r="F415" s="2"/>
      <c r="G415" s="2"/>
      <c r="H415" s="2"/>
      <c r="I415" s="2"/>
    </row>
    <row r="416" spans="1:9" s="3" customFormat="1" ht="15">
      <c r="A416" s="2"/>
      <c r="B416" s="2"/>
      <c r="C416" s="7" t="str">
        <f>"答案是： "&amp;IF(H411="A.",C412,IF(H411="B.",C413,IF(H411="C.",C414,IF(H411=("D."),C415,"XXXX"))))</f>
        <v>答案是： (A.)越大。</v>
      </c>
      <c r="D416" s="2"/>
      <c r="E416" s="2"/>
      <c r="F416" s="2"/>
      <c r="G416" s="2"/>
      <c r="H416" s="2"/>
      <c r="I416" s="2"/>
    </row>
    <row r="417" spans="1:9" s="3" customFormat="1" ht="150">
      <c r="A417" s="2"/>
      <c r="B417" s="2"/>
      <c r="C417" s="7" t="str">
        <f>"說明："&amp;I411</f>
        <v>說明：摩擦阻力是由於空氣的粘性(Viscosity)引起的。空氣流經飛行器表面時會產生剪切應力，表面越粗糙、與空氣接觸的表面積越大、空氣粘性越高，摩擦阻力就越大。
飛機表面積越大，摩擦阻力就會變大。根據航空飛行原理，當空氣流過飛機表面時，由於空氣的黏性會產生阻礙飛機前進的摩擦力。摩擦阻力的大小主要取決於三個因素：空氣黏性、表面粗糙度，以及飛機與空氣接觸的表面積。因此，當接觸面積增加時，摩擦阻力也會隨之升高。</v>
      </c>
      <c r="D417" s="2"/>
      <c r="E417" s="2"/>
      <c r="F417" s="2"/>
      <c r="G417" s="2"/>
      <c r="H417" s="2"/>
      <c r="I417" s="2"/>
    </row>
    <row r="418" spans="1:9" s="3" customFormat="1" ht="45">
      <c r="A418" s="4" t="str">
        <f>dB題庫!A67</f>
        <v>66</v>
      </c>
      <c r="B418" s="4" t="str">
        <f>dB題庫!B67</f>
        <v>由前後壓力差形成的阻力叫下列哪種阻力</v>
      </c>
      <c r="C418" s="4" t="str">
        <f>A418&amp;"."&amp;B418</f>
        <v>66.由前後壓力差形成的阻力叫下列哪種阻力</v>
      </c>
      <c r="D418" s="4" t="str">
        <f>dB題庫!C67</f>
        <v>摩擦阻力。</v>
      </c>
      <c r="E418" s="4" t="str">
        <f>dB題庫!D67</f>
        <v>形狀阻力。</v>
      </c>
      <c r="F418" s="4" t="str">
        <f>dB題庫!E67</f>
        <v>誘導阻力。</v>
      </c>
      <c r="G418" s="4" t="str">
        <f>dB題庫!F67</f>
        <v>干擾阻力。</v>
      </c>
      <c r="H418" s="4" t="str">
        <f>dB題庫!G67</f>
        <v>B.</v>
      </c>
      <c r="I418" s="4" t="str">
        <f>dB題庫!H67</f>
        <v>由前後壓力差形成的阻力稱為形狀阻力（又稱壓差阻力）。這是由於物體（如飛機、車輛）在氣流中移動時，前端迎風面受到氣流阻擋壓力升高，而後端氣流分離產生渦流使壓力降低，這種前後壓力差便會形成阻力。</v>
      </c>
    </row>
    <row r="419" spans="1:9" s="3" customFormat="1" ht="15">
      <c r="A419" s="2" t="s">
        <v>114</v>
      </c>
      <c r="B419" s="1"/>
      <c r="C419" s="7" t="str">
        <f>"(A.)"&amp;D418</f>
        <v>(A.)摩擦阻力。</v>
      </c>
      <c r="D419" s="2"/>
      <c r="E419" s="2"/>
      <c r="F419" s="2"/>
      <c r="G419" s="2"/>
      <c r="H419" s="2"/>
      <c r="I419" s="2"/>
    </row>
    <row r="420" spans="1:9" s="3" customFormat="1" ht="15">
      <c r="A420" s="2"/>
      <c r="B420" s="1"/>
      <c r="C420" s="7" t="str">
        <f>"(B.)"&amp;E418</f>
        <v>(B.)形狀阻力。</v>
      </c>
      <c r="D420" s="2"/>
      <c r="E420" s="2"/>
      <c r="F420" s="2"/>
      <c r="G420" s="2"/>
      <c r="H420" s="2"/>
      <c r="I420" s="2"/>
    </row>
    <row r="421" spans="1:9" s="3" customFormat="1" ht="15">
      <c r="A421" s="2"/>
      <c r="B421" s="2"/>
      <c r="C421" s="7" t="str">
        <f>"(C.)"&amp;F418</f>
        <v>(C.)誘導阻力。</v>
      </c>
      <c r="D421" s="2"/>
      <c r="E421" s="2"/>
      <c r="F421" s="2"/>
      <c r="G421" s="2"/>
      <c r="H421" s="2"/>
      <c r="I421" s="2"/>
    </row>
    <row r="422" spans="1:9" s="3" customFormat="1" ht="15">
      <c r="A422" s="2"/>
      <c r="B422" s="2"/>
      <c r="C422" s="7" t="str">
        <f>"(D.)"&amp;G418</f>
        <v>(D.)干擾阻力。</v>
      </c>
      <c r="D422" s="2"/>
      <c r="E422" s="2"/>
      <c r="F422" s="2"/>
      <c r="G422" s="2"/>
      <c r="H422" s="2"/>
      <c r="I422" s="2"/>
    </row>
    <row r="423" spans="1:9" s="3" customFormat="1" ht="15">
      <c r="A423" s="2"/>
      <c r="B423" s="2"/>
      <c r="C423" s="7" t="str">
        <f>"答案是： "&amp;IF(H418="A.",C419,IF(H418="B.",C420,IF(H418="C.",C421,IF(H418=("D."),C422,"XXXX"))))</f>
        <v>答案是： (B.)形狀阻力。</v>
      </c>
      <c r="D423" s="2"/>
      <c r="E423" s="2"/>
      <c r="F423" s="2"/>
      <c r="G423" s="2"/>
      <c r="H423" s="2"/>
      <c r="I423" s="2"/>
    </row>
    <row r="424" spans="1:9" s="3" customFormat="1" ht="75">
      <c r="A424" s="2"/>
      <c r="B424" s="2"/>
      <c r="C424" s="7" t="str">
        <f>"說明："&amp;I418</f>
        <v>說明：由前後壓力差形成的阻力稱為形狀阻力（又稱壓差阻力）。這是由於物體（如飛機、車輛）在氣流中移動時，前端迎風面受到氣流阻擋壓力升高，而後端氣流分離產生渦流使壓力降低，這種前後壓力差便會形成阻力。</v>
      </c>
      <c r="D424" s="2"/>
      <c r="E424" s="2"/>
      <c r="F424" s="2"/>
      <c r="G424" s="2"/>
      <c r="H424" s="2"/>
      <c r="I424" s="2"/>
    </row>
    <row r="425" spans="1:9" s="3" customFormat="1" ht="75">
      <c r="A425" s="4" t="str">
        <f>dB題庫!A68</f>
        <v>67</v>
      </c>
      <c r="B425" s="4" t="str">
        <f>dB題庫!B68</f>
        <v>人在逆風中行走,會感到阻力的作用,這就是下列哪種阻力</v>
      </c>
      <c r="C425" s="4" t="str">
        <f>A425&amp;"."&amp;B425</f>
        <v>67.人在逆風中行走,會感到阻力的作用,這就是下列哪種阻力</v>
      </c>
      <c r="D425" s="4" t="str">
        <f>dB題庫!C68</f>
        <v>摩擦阻力。</v>
      </c>
      <c r="E425" s="4" t="str">
        <f>dB題庫!D68</f>
        <v>誘導阻力。</v>
      </c>
      <c r="F425" s="4" t="str">
        <f>dB題庫!E68</f>
        <v>形狀阻力。</v>
      </c>
      <c r="G425" s="4" t="str">
        <f>dB題庫!F68</f>
        <v>干擾阻力。</v>
      </c>
      <c r="H425" s="4" t="str">
        <f>dB題庫!G68</f>
        <v>C.</v>
      </c>
      <c r="I425" s="4" t="str">
        <f>dB題庫!H68</f>
        <v>人在逆風中行走時所感受到的阻力，主要是由於物體正面與背面的空氣壓力差所造成，這在空氣動力學中被稱為形狀阻力（亦稱為壓差阻力）。當您向前行走時，迎面而來的空氣受到身體阻擋，在身體前方產生較高的壓力；而在身體背後，因為氣流分離形成較低的壓力區。這種前後的壓力差便形成了阻止您前進的「形狀阻力」。</v>
      </c>
    </row>
    <row r="426" spans="1:9" s="3" customFormat="1" ht="15">
      <c r="A426" s="2" t="s">
        <v>114</v>
      </c>
      <c r="B426" s="1"/>
      <c r="C426" s="7" t="str">
        <f>"(A.)"&amp;D425</f>
        <v>(A.)摩擦阻力。</v>
      </c>
      <c r="D426" s="2"/>
      <c r="E426" s="2"/>
      <c r="F426" s="2"/>
      <c r="G426" s="2"/>
      <c r="H426" s="2"/>
      <c r="I426" s="2"/>
    </row>
    <row r="427" spans="1:9" s="3" customFormat="1" ht="15">
      <c r="A427" s="2"/>
      <c r="B427" s="1"/>
      <c r="C427" s="7" t="str">
        <f>"(B.)"&amp;E425</f>
        <v>(B.)誘導阻力。</v>
      </c>
      <c r="D427" s="2"/>
      <c r="E427" s="2"/>
      <c r="F427" s="2"/>
      <c r="G427" s="2"/>
      <c r="H427" s="2"/>
      <c r="I427" s="2"/>
    </row>
    <row r="428" spans="1:9" s="3" customFormat="1" ht="15">
      <c r="A428" s="2"/>
      <c r="B428" s="2"/>
      <c r="C428" s="7" t="str">
        <f>"(C.)"&amp;F425</f>
        <v>(C.)形狀阻力。</v>
      </c>
      <c r="D428" s="2"/>
      <c r="E428" s="2"/>
      <c r="F428" s="2"/>
      <c r="G428" s="2"/>
      <c r="H428" s="2"/>
      <c r="I428" s="2"/>
    </row>
    <row r="429" spans="1:9" s="3" customFormat="1" ht="15">
      <c r="A429" s="2"/>
      <c r="B429" s="2"/>
      <c r="C429" s="7" t="str">
        <f>"(D.)"&amp;G425</f>
        <v>(D.)干擾阻力。</v>
      </c>
      <c r="D429" s="2"/>
      <c r="E429" s="2"/>
      <c r="F429" s="2"/>
      <c r="G429" s="2"/>
      <c r="H429" s="2"/>
      <c r="I429" s="2"/>
    </row>
    <row r="430" spans="1:9" s="3" customFormat="1" ht="15">
      <c r="A430" s="2"/>
      <c r="B430" s="2"/>
      <c r="C430" s="7" t="str">
        <f>"答案是： "&amp;IF(H425="A.",C426,IF(H425="B.",C427,IF(H425="C.",C428,IF(H425=("D."),C429,"XXXX"))))</f>
        <v>答案是： (C.)形狀阻力。</v>
      </c>
      <c r="D430" s="2"/>
      <c r="E430" s="2"/>
      <c r="F430" s="2"/>
      <c r="G430" s="2"/>
      <c r="H430" s="2"/>
      <c r="I430" s="2"/>
    </row>
    <row r="431" spans="1:9" s="3" customFormat="1" ht="120">
      <c r="A431" s="2"/>
      <c r="B431" s="2"/>
      <c r="C431" s="7" t="str">
        <f>"說明："&amp;I425</f>
        <v>說明：人在逆風中行走時所感受到的阻力，主要是由於物體正面與背面的空氣壓力差所造成，這在空氣動力學中被稱為形狀阻力（亦稱為壓差阻力）。當您向前行走時，迎面而來的空氣受到身體阻擋，在身體前方產生較高的壓力；而在身體背後，因為氣流分離形成較低的壓力區。這種前後的壓力差便形成了阻止您前進的「形狀阻力」。</v>
      </c>
      <c r="D431" s="2"/>
      <c r="E431" s="2"/>
      <c r="F431" s="2"/>
      <c r="G431" s="2"/>
      <c r="H431" s="2"/>
      <c r="I431" s="2"/>
    </row>
    <row r="432" spans="1:9" s="3" customFormat="1" ht="45">
      <c r="A432" s="4" t="str">
        <f>dB題庫!A69</f>
        <v>68</v>
      </c>
      <c r="B432" s="4" t="str">
        <f>dB題庫!B69</f>
        <v>遙控無人飛機的機身與尾翼接合部分因氣流相互干擾,都會產生下列哪種阻力</v>
      </c>
      <c r="C432" s="4" t="str">
        <f>A432&amp;"."&amp;B432</f>
        <v>68.遙控無人飛機的機身與尾翼接合部分因氣流相互干擾,都會產生下列哪種阻力</v>
      </c>
      <c r="D432" s="4" t="str">
        <f>dB題庫!C69</f>
        <v>摩擦阻力。</v>
      </c>
      <c r="E432" s="4" t="str">
        <f>dB題庫!D69</f>
        <v>形狀阻力。</v>
      </c>
      <c r="F432" s="4" t="str">
        <f>dB題庫!E69</f>
        <v>誘導阻力。</v>
      </c>
      <c r="G432" s="4" t="str">
        <f>dB題庫!F69</f>
        <v>干擾阻力。</v>
      </c>
      <c r="H432" s="4" t="str">
        <f>dB題庫!G69</f>
        <v>D.</v>
      </c>
      <c r="I432" s="4" t="str">
        <f>dB題庫!H69</f>
        <v>遙控無人飛機的機身與尾翼（或其他相鄰部件）接合處，因氣流相互干擾會產生干擾阻力（Interference Drag）。這屬於寄生阻力的一種，常見於機身與機翼、機身與尾翼等交接處。</v>
      </c>
    </row>
    <row r="433" spans="1:9" s="3" customFormat="1" ht="15">
      <c r="A433" s="2" t="s">
        <v>114</v>
      </c>
      <c r="B433" s="1"/>
      <c r="C433" s="7" t="str">
        <f>"(A.)"&amp;D432</f>
        <v>(A.)摩擦阻力。</v>
      </c>
      <c r="D433" s="2"/>
      <c r="E433" s="2"/>
      <c r="F433" s="2"/>
      <c r="G433" s="2"/>
      <c r="H433" s="2"/>
      <c r="I433" s="2"/>
    </row>
    <row r="434" spans="1:9" s="3" customFormat="1" ht="15">
      <c r="A434" s="2"/>
      <c r="B434" s="1"/>
      <c r="C434" s="7" t="str">
        <f>"(B.)"&amp;E432</f>
        <v>(B.)形狀阻力。</v>
      </c>
      <c r="D434" s="2"/>
      <c r="E434" s="2"/>
      <c r="F434" s="2"/>
      <c r="G434" s="2"/>
      <c r="H434" s="2"/>
      <c r="I434" s="2"/>
    </row>
    <row r="435" spans="1:9" s="3" customFormat="1" ht="15">
      <c r="A435" s="2"/>
      <c r="B435" s="2"/>
      <c r="C435" s="7" t="str">
        <f>"(C.)"&amp;F432</f>
        <v>(C.)誘導阻力。</v>
      </c>
      <c r="D435" s="2"/>
      <c r="E435" s="2"/>
      <c r="F435" s="2"/>
      <c r="G435" s="2"/>
      <c r="H435" s="2"/>
      <c r="I435" s="2"/>
    </row>
    <row r="436" spans="1:9" s="3" customFormat="1" ht="15">
      <c r="A436" s="2"/>
      <c r="B436" s="2"/>
      <c r="C436" s="7" t="str">
        <f>"(D.)"&amp;G432</f>
        <v>(D.)干擾阻力。</v>
      </c>
      <c r="D436" s="2"/>
      <c r="E436" s="2"/>
      <c r="F436" s="2"/>
      <c r="G436" s="2"/>
      <c r="H436" s="2"/>
      <c r="I436" s="2"/>
    </row>
    <row r="437" spans="1:9" s="3" customFormat="1" ht="15">
      <c r="A437" s="2"/>
      <c r="B437" s="2"/>
      <c r="C437" s="7" t="str">
        <f>"答案是： "&amp;IF(H432="A.",C433,IF(H432="B.",C434,IF(H432="C.",C435,IF(H432=("D."),C436,"XXXX"))))</f>
        <v>答案是： (D.)干擾阻力。</v>
      </c>
      <c r="D437" s="2"/>
      <c r="E437" s="2"/>
      <c r="F437" s="2"/>
      <c r="G437" s="2"/>
      <c r="H437" s="2"/>
      <c r="I437" s="2"/>
    </row>
    <row r="438" spans="1:9" s="3" customFormat="1" ht="60">
      <c r="A438" s="2"/>
      <c r="B438" s="2"/>
      <c r="C438" s="7" t="str">
        <f>"說明："&amp;I432</f>
        <v>說明：遙控無人飛機的機身與尾翼（或其他相鄰部件）接合處，因氣流相互干擾會產生干擾阻力（Interference Drag）。這屬於寄生阻力的一種，常見於機身與機翼、機身與尾翼等交接處。</v>
      </c>
      <c r="D438" s="2"/>
      <c r="E438" s="2"/>
      <c r="F438" s="2"/>
      <c r="G438" s="2"/>
      <c r="H438" s="2"/>
      <c r="I438" s="2"/>
    </row>
    <row r="439" spans="1:9" s="3" customFormat="1" ht="60">
      <c r="A439" s="4" t="str">
        <f>dB題庫!A70</f>
        <v>69</v>
      </c>
      <c r="B439" s="4" t="str">
        <f>dB題庫!B70</f>
        <v>因升力產生渦流而發生的阻力稱為下列哪種阻力</v>
      </c>
      <c r="C439" s="4" t="str">
        <f>A439&amp;"."&amp;B439</f>
        <v>69.因升力產生渦流而發生的阻力稱為下列哪種阻力</v>
      </c>
      <c r="D439" s="4" t="str">
        <f>dB題庫!C70</f>
        <v>摩擦阻力。</v>
      </c>
      <c r="E439" s="4" t="str">
        <f>dB題庫!D70</f>
        <v>誘導阻力。</v>
      </c>
      <c r="F439" s="4" t="str">
        <f>dB題庫!E70</f>
        <v>形狀阻力。</v>
      </c>
      <c r="G439" s="4" t="str">
        <f>dB題庫!F70</f>
        <v>干擾阻力。</v>
      </c>
      <c r="H439" s="4" t="str">
        <f>dB題庫!G70</f>
        <v>B.</v>
      </c>
      <c r="I439" s="4" t="str">
        <f>dB題庫!H70</f>
        <v>因升力產生渦流而發生的阻力稱為誘導阻力（Induced Drag）。這是飛行器在產生升力時，由於機翼上下壓力差導致氣流在翼尖捲起渦流，使升力向量向後傾斜所產生的附加阻力。誘導阻力重點成因：機翼產生升力現象：形成翼尖渦流影響：速度越慢，產生的誘導阻力越大</v>
      </c>
    </row>
    <row r="440" spans="1:9" s="3" customFormat="1" ht="15">
      <c r="A440" s="2" t="s">
        <v>114</v>
      </c>
      <c r="B440" s="1"/>
      <c r="C440" s="7" t="str">
        <f>"(A.)"&amp;D439</f>
        <v>(A.)摩擦阻力。</v>
      </c>
      <c r="D440" s="2"/>
      <c r="E440" s="2"/>
      <c r="F440" s="2"/>
      <c r="G440" s="2"/>
      <c r="H440" s="2"/>
      <c r="I440" s="2"/>
    </row>
    <row r="441" spans="1:9" s="3" customFormat="1" ht="15">
      <c r="A441" s="2"/>
      <c r="B441" s="1"/>
      <c r="C441" s="7" t="str">
        <f>"(B.)"&amp;E439</f>
        <v>(B.)誘導阻力。</v>
      </c>
      <c r="D441" s="2"/>
      <c r="E441" s="2"/>
      <c r="F441" s="2"/>
      <c r="G441" s="2"/>
      <c r="H441" s="2"/>
      <c r="I441" s="2"/>
    </row>
    <row r="442" spans="1:9" s="3" customFormat="1" ht="15">
      <c r="A442" s="2"/>
      <c r="B442" s="2"/>
      <c r="C442" s="7" t="str">
        <f>"(C.)"&amp;F439</f>
        <v>(C.)形狀阻力。</v>
      </c>
      <c r="D442" s="2"/>
      <c r="E442" s="2"/>
      <c r="F442" s="2"/>
      <c r="G442" s="2"/>
      <c r="H442" s="2"/>
      <c r="I442" s="2"/>
    </row>
    <row r="443" spans="1:9" s="3" customFormat="1" ht="15">
      <c r="A443" s="2"/>
      <c r="B443" s="2"/>
      <c r="C443" s="7" t="str">
        <f>"(D.)"&amp;G439</f>
        <v>(D.)干擾阻力。</v>
      </c>
      <c r="D443" s="2"/>
      <c r="E443" s="2"/>
      <c r="F443" s="2"/>
      <c r="G443" s="2"/>
      <c r="H443" s="2"/>
      <c r="I443" s="2"/>
    </row>
    <row r="444" spans="1:9" s="3" customFormat="1" ht="15">
      <c r="A444" s="2"/>
      <c r="B444" s="2"/>
      <c r="C444" s="7" t="str">
        <f>"答案是： "&amp;IF(H439="A.",C440,IF(H439="B.",C441,IF(H439="C.",C442,IF(H439=("D."),C443,"XXXX"))))</f>
        <v>答案是： (B.)誘導阻力。</v>
      </c>
      <c r="D444" s="2"/>
      <c r="E444" s="2"/>
      <c r="F444" s="2"/>
      <c r="G444" s="2"/>
      <c r="H444" s="2"/>
      <c r="I444" s="2"/>
    </row>
    <row r="445" spans="1:9" s="3" customFormat="1" ht="90">
      <c r="A445" s="2"/>
      <c r="B445" s="2"/>
      <c r="C445" s="7" t="str">
        <f>"說明："&amp;I439</f>
        <v>說明：因升力產生渦流而發生的阻力稱為誘導阻力（Induced Drag）。這是飛行器在產生升力時，由於機翼上下壓力差導致氣流在翼尖捲起渦流，使升力向量向後傾斜所產生的附加阻力。誘導阻力重點成因：機翼產生升力現象：形成翼尖渦流影響：速度越慢，產生的誘導阻力越大</v>
      </c>
      <c r="D445" s="2"/>
      <c r="E445" s="2"/>
      <c r="F445" s="2"/>
      <c r="G445" s="2"/>
      <c r="H445" s="2"/>
      <c r="I445" s="2"/>
    </row>
    <row r="446" spans="1:9" s="3" customFormat="1" ht="45">
      <c r="A446" s="4" t="str">
        <f>dB題庫!A71</f>
        <v>70</v>
      </c>
      <c r="B446" s="4" t="str">
        <f>dB題庫!B71</f>
        <v>誘導阻力是遙控無人機為產生下列哪種外力而須付出的一種代價</v>
      </c>
      <c r="C446" s="4" t="str">
        <f>A446&amp;"."&amp;B446</f>
        <v>70.誘導阻力是遙控無人機為產生下列哪種外力而須付出的一種代價</v>
      </c>
      <c r="D446" s="4" t="str">
        <f>dB題庫!C71</f>
        <v>磁力。</v>
      </c>
      <c r="E446" s="4" t="str">
        <f>dB題庫!D71</f>
        <v>推力。</v>
      </c>
      <c r="F446" s="4" t="str">
        <f>dB題庫!E71</f>
        <v>升力。</v>
      </c>
      <c r="G446" s="4" t="str">
        <f>dB題庫!F71</f>
        <v>重力。</v>
      </c>
      <c r="H446" s="4" t="str">
        <f>dB題庫!G71</f>
        <v>C.</v>
      </c>
      <c r="I446" s="4" t="str">
        <f>dB題庫!H71</f>
        <v>誘導阻力(Induced Drag)是機翼產生升力時不可避免的代價。由於下表面高壓氣流翻越翼尖流向在上表面的低壓區，會在翼尖形成翼尖渦流，將相對氣流向下方偏轉，使總空氣動力後傾而產生阻力要素。</v>
      </c>
    </row>
    <row r="447" spans="1:9" s="3" customFormat="1" ht="15">
      <c r="A447" s="2" t="s">
        <v>114</v>
      </c>
      <c r="B447" s="1"/>
      <c r="C447" s="7" t="str">
        <f>"(A.)"&amp;D446</f>
        <v>(A.)磁力。</v>
      </c>
      <c r="D447" s="2"/>
      <c r="E447" s="2"/>
      <c r="F447" s="2"/>
      <c r="G447" s="2"/>
      <c r="H447" s="2"/>
      <c r="I447" s="2"/>
    </row>
    <row r="448" spans="1:9" s="3" customFormat="1" ht="15">
      <c r="A448" s="2"/>
      <c r="B448" s="1"/>
      <c r="C448" s="7" t="str">
        <f>"(B.)"&amp;E446</f>
        <v>(B.)推力。</v>
      </c>
      <c r="D448" s="2"/>
      <c r="E448" s="2"/>
      <c r="F448" s="2"/>
      <c r="G448" s="2"/>
      <c r="H448" s="2"/>
      <c r="I448" s="2"/>
    </row>
    <row r="449" spans="1:9" s="3" customFormat="1" ht="15">
      <c r="A449" s="2"/>
      <c r="B449" s="2"/>
      <c r="C449" s="7" t="str">
        <f>"(C.)"&amp;F446</f>
        <v>(C.)升力。</v>
      </c>
      <c r="D449" s="2"/>
      <c r="E449" s="2"/>
      <c r="F449" s="2"/>
      <c r="G449" s="2"/>
      <c r="H449" s="2"/>
      <c r="I449" s="2"/>
    </row>
    <row r="450" spans="1:9" s="3" customFormat="1" ht="15">
      <c r="A450" s="2"/>
      <c r="B450" s="2"/>
      <c r="C450" s="7" t="str">
        <f>"(D.)"&amp;G446</f>
        <v>(D.)重力。</v>
      </c>
      <c r="D450" s="2"/>
      <c r="E450" s="2"/>
      <c r="F450" s="2"/>
      <c r="G450" s="2"/>
      <c r="H450" s="2"/>
      <c r="I450" s="2"/>
    </row>
    <row r="451" spans="1:9" s="3" customFormat="1" ht="15">
      <c r="A451" s="2"/>
      <c r="B451" s="2"/>
      <c r="C451" s="7" t="str">
        <f>"答案是： "&amp;IF(H446="A.",C447,IF(H446="B.",C448,IF(H446="C.",C449,IF(H446=("D."),C450,"XXXX"))))</f>
        <v>答案是： (C.)升力。</v>
      </c>
      <c r="D451" s="2"/>
      <c r="E451" s="2"/>
      <c r="F451" s="2"/>
      <c r="G451" s="2"/>
      <c r="H451" s="2"/>
      <c r="I451" s="2"/>
    </row>
    <row r="452" spans="1:9" s="3" customFormat="1" ht="75">
      <c r="A452" s="2"/>
      <c r="B452" s="2"/>
      <c r="C452" s="7" t="str">
        <f>"說明："&amp;I446</f>
        <v>說明：誘導阻力(Induced Drag)是機翼產生升力時不可避免的代價。由於下表面高壓氣流翻越翼尖流向在上表面的低壓區，會在翼尖形成翼尖渦流，將相對氣流向下方偏轉，使總空氣動力後傾而產生阻力要素。</v>
      </c>
      <c r="D452" s="2"/>
      <c r="E452" s="2"/>
      <c r="F452" s="2"/>
      <c r="G452" s="2"/>
      <c r="H452" s="2"/>
      <c r="I452" s="2"/>
    </row>
    <row r="453" spans="1:9" s="3" customFormat="1" ht="30">
      <c r="A453" s="4" t="str">
        <f>dB題庫!A72</f>
        <v>71</v>
      </c>
      <c r="B453" s="4" t="str">
        <f>dB題庫!B72</f>
        <v>干擾阻力是遙控無人機各部分之間因下列哪種因素而產生的一種額外阻力</v>
      </c>
      <c r="C453" s="4" t="str">
        <f>A453&amp;"."&amp;B453</f>
        <v>71.干擾阻力是遙控無人機各部分之間因下列哪種因素而產生的一種額外阻力</v>
      </c>
      <c r="D453" s="4" t="str">
        <f>dB題庫!C72</f>
        <v>氣流相互干擾。</v>
      </c>
      <c r="E453" s="4" t="str">
        <f>dB題庫!D72</f>
        <v>熱流相互作用。</v>
      </c>
      <c r="F453" s="4" t="str">
        <f>dB題庫!E72</f>
        <v>濕度相互作用。</v>
      </c>
      <c r="G453" s="4" t="str">
        <f>dB題庫!F72</f>
        <v>磁力相互作用。</v>
      </c>
      <c r="H453" s="4" t="str">
        <f>dB題庫!G72</f>
        <v>A.</v>
      </c>
      <c r="I453" s="4" t="str">
        <f>dB題庫!H72</f>
        <v>干擾阻力是指無人機各組件(如機身與機翼、機身與尾翼接合處)在氣流交會時相互干擾、產生額外渦流所引起的附加阻力。</v>
      </c>
    </row>
    <row r="454" spans="1:9" s="3" customFormat="1" ht="15">
      <c r="A454" s="2" t="s">
        <v>114</v>
      </c>
      <c r="B454" s="1"/>
      <c r="C454" s="7" t="str">
        <f>"(A.)"&amp;D453</f>
        <v>(A.)氣流相互干擾。</v>
      </c>
      <c r="D454" s="2"/>
      <c r="E454" s="2"/>
      <c r="F454" s="2"/>
      <c r="G454" s="2"/>
      <c r="H454" s="2"/>
      <c r="I454" s="2"/>
    </row>
    <row r="455" spans="1:9" s="3" customFormat="1" ht="15">
      <c r="A455" s="2"/>
      <c r="B455" s="1"/>
      <c r="C455" s="7" t="str">
        <f>"(B.)"&amp;E453</f>
        <v>(B.)熱流相互作用。</v>
      </c>
      <c r="D455" s="2"/>
      <c r="E455" s="2"/>
      <c r="F455" s="2"/>
      <c r="G455" s="2"/>
      <c r="H455" s="2"/>
      <c r="I455" s="2"/>
    </row>
    <row r="456" spans="1:9" s="3" customFormat="1" ht="15">
      <c r="A456" s="2"/>
      <c r="B456" s="2"/>
      <c r="C456" s="7" t="str">
        <f>"(C.)"&amp;F453</f>
        <v>(C.)濕度相互作用。</v>
      </c>
      <c r="D456" s="2"/>
      <c r="E456" s="2"/>
      <c r="F456" s="2"/>
      <c r="G456" s="2"/>
      <c r="H456" s="2"/>
      <c r="I456" s="2"/>
    </row>
    <row r="457" spans="1:9" s="3" customFormat="1" ht="15">
      <c r="A457" s="2"/>
      <c r="B457" s="2"/>
      <c r="C457" s="7" t="str">
        <f>"(D.)"&amp;G453</f>
        <v>(D.)磁力相互作用。</v>
      </c>
      <c r="D457" s="2"/>
      <c r="E457" s="2"/>
      <c r="F457" s="2"/>
      <c r="G457" s="2"/>
      <c r="H457" s="2"/>
      <c r="I457" s="2"/>
    </row>
    <row r="458" spans="1:9" s="3" customFormat="1" ht="15">
      <c r="A458" s="2"/>
      <c r="B458" s="2"/>
      <c r="C458" s="7" t="str">
        <f>"答案是： "&amp;IF(H453="A.",C454,IF(H453="B.",C455,IF(H453="C.",C456,IF(H453=("D."),C457,"XXXX"))))</f>
        <v>答案是： (A.)氣流相互干擾。</v>
      </c>
      <c r="D458" s="2"/>
      <c r="E458" s="2"/>
      <c r="F458" s="2"/>
      <c r="G458" s="2"/>
      <c r="H458" s="2"/>
      <c r="I458" s="2"/>
    </row>
    <row r="459" spans="1:9" s="3" customFormat="1" ht="45">
      <c r="A459" s="2"/>
      <c r="B459" s="2"/>
      <c r="C459" s="7" t="str">
        <f>"說明："&amp;I453</f>
        <v>說明：干擾阻力是指無人機各組件(如機身與機翼、機身與尾翼接合處)在氣流交會時相互干擾、產生額外渦流所引起的附加阻力。</v>
      </c>
      <c r="D459" s="2"/>
      <c r="E459" s="2"/>
      <c r="F459" s="2"/>
      <c r="G459" s="2"/>
      <c r="H459" s="2"/>
      <c r="I459" s="2"/>
    </row>
    <row r="460" spans="1:9" s="3" customFormat="1" ht="45">
      <c r="A460" s="4" t="str">
        <f>dB題庫!A73</f>
        <v>72</v>
      </c>
      <c r="B460" s="4" t="str">
        <f>dB題庫!B73</f>
        <v>干擾阻力容易產生在下列哪些組件之間</v>
      </c>
      <c r="C460" s="4" t="str">
        <f>A460&amp;"."&amp;B460</f>
        <v>72.干擾阻力容易產生在下列哪些組件之間</v>
      </c>
      <c r="D460" s="4" t="str">
        <f>dB題庫!C73</f>
        <v>機身和機翼、機身和尾翼。</v>
      </c>
      <c r="E460" s="4" t="str">
        <f>dB題庫!D73</f>
        <v>機翼和外掛載。</v>
      </c>
      <c r="F460" s="4" t="str">
        <f>dB題庫!E73</f>
        <v>機翼、發動機短艙。</v>
      </c>
      <c r="G460" s="4" t="str">
        <f>dB題庫!F73</f>
        <v>以上皆是。</v>
      </c>
      <c r="H460" s="4" t="str">
        <f>dB題庫!G73</f>
        <v>D.</v>
      </c>
      <c r="I460" s="4" t="str">
        <f>dB題庫!H73</f>
        <v>干擾阻力是指無人機各組件(如機身與機翼、機身與尾翼接合處)在氣流交會時相互干擾、產生額外渦流所引起的附加阻力，因此各部件間均會產生干擾阻力。</v>
      </c>
    </row>
    <row r="461" spans="1:9" s="3" customFormat="1" ht="15">
      <c r="A461" s="2" t="s">
        <v>114</v>
      </c>
      <c r="B461" s="1"/>
      <c r="C461" s="7" t="str">
        <f>"(A.)"&amp;D460</f>
        <v>(A.)機身和機翼、機身和尾翼。</v>
      </c>
      <c r="D461" s="2"/>
      <c r="E461" s="2"/>
      <c r="F461" s="2"/>
      <c r="G461" s="2"/>
      <c r="H461" s="2"/>
      <c r="I461" s="2"/>
    </row>
    <row r="462" spans="1:9" s="3" customFormat="1" ht="15">
      <c r="A462" s="2"/>
      <c r="B462" s="1"/>
      <c r="C462" s="7" t="str">
        <f>"(B.)"&amp;E460</f>
        <v>(B.)機翼和外掛載。</v>
      </c>
      <c r="D462" s="2"/>
      <c r="E462" s="2"/>
      <c r="F462" s="2"/>
      <c r="G462" s="2"/>
      <c r="H462" s="2"/>
      <c r="I462" s="2"/>
    </row>
    <row r="463" spans="1:9" s="3" customFormat="1" ht="15">
      <c r="A463" s="2"/>
      <c r="B463" s="2"/>
      <c r="C463" s="7" t="str">
        <f>"(C.)"&amp;F460</f>
        <v>(C.)機翼、發動機短艙。</v>
      </c>
      <c r="D463" s="2"/>
      <c r="E463" s="2"/>
      <c r="F463" s="2"/>
      <c r="G463" s="2"/>
      <c r="H463" s="2"/>
      <c r="I463" s="2"/>
    </row>
    <row r="464" spans="1:9" s="3" customFormat="1" ht="15">
      <c r="A464" s="2"/>
      <c r="B464" s="2"/>
      <c r="C464" s="7" t="str">
        <f>"(D.)"&amp;G460</f>
        <v>(D.)以上皆是。</v>
      </c>
      <c r="D464" s="2"/>
      <c r="E464" s="2"/>
      <c r="F464" s="2"/>
      <c r="G464" s="2"/>
      <c r="H464" s="2"/>
      <c r="I464" s="2"/>
    </row>
    <row r="465" spans="1:9" s="3" customFormat="1" ht="15">
      <c r="A465" s="2"/>
      <c r="B465" s="2"/>
      <c r="C465" s="7" t="str">
        <f>"答案是： "&amp;IF(H460="A.",C461,IF(H460="B.",C462,IF(H460="C.",C463,IF(H460=("D."),C464,"XXXX"))))</f>
        <v>答案是： (D.)以上皆是。</v>
      </c>
      <c r="D465" s="2"/>
      <c r="E465" s="2"/>
      <c r="F465" s="2"/>
      <c r="G465" s="2"/>
      <c r="H465" s="2"/>
      <c r="I465" s="2"/>
    </row>
    <row r="466" spans="1:9" s="3" customFormat="1" ht="60">
      <c r="A466" s="2"/>
      <c r="B466" s="2"/>
      <c r="C466" s="7" t="str">
        <f>"說明："&amp;I460</f>
        <v>說明：干擾阻力是指無人機各組件(如機身與機翼、機身與尾翼接合處)在氣流交會時相互干擾、產生額外渦流所引起的附加阻力，因此各部件間均會產生干擾阻力。</v>
      </c>
      <c r="D466" s="2"/>
      <c r="E466" s="2"/>
      <c r="F466" s="2"/>
      <c r="G466" s="2"/>
      <c r="H466" s="2"/>
      <c r="I466" s="2"/>
    </row>
    <row r="467" spans="1:9" s="3" customFormat="1" ht="45">
      <c r="A467" s="4" t="str">
        <f>dB題庫!A74</f>
        <v>73</v>
      </c>
      <c r="B467" s="4" t="str">
        <f>dB題庫!B74</f>
        <v>重力是航空器本身之質量所受的下列哪種外力</v>
      </c>
      <c r="C467" s="4" t="str">
        <f>A467&amp;"."&amp;B467</f>
        <v>73.重力是航空器本身之質量所受的下列哪種外力</v>
      </c>
      <c r="D467" s="4" t="str">
        <f>dB題庫!C74</f>
        <v>磁力。</v>
      </c>
      <c r="E467" s="4" t="str">
        <f>dB題庫!D74</f>
        <v>地心引力。</v>
      </c>
      <c r="F467" s="4" t="str">
        <f>dB題庫!E74</f>
        <v>摩擦力。</v>
      </c>
      <c r="G467" s="4" t="str">
        <f>dB題庫!F74</f>
        <v>靜電力。</v>
      </c>
      <c r="H467" s="4" t="str">
        <f>dB題庫!G74</f>
        <v>B.</v>
      </c>
      <c r="I467" s="4" t="str">
        <f>dB題庫!H74</f>
        <v>重力是航空器本身之質量所受的地心引力（選項B.）。相關測驗題庫與規範可參考交通部民用航空局的遙控無人機學科測驗資料。飛行原理重點地心引力：指航空器質量所受的吸引力。過重會影響飛行表現。機身設計多用輕材料。</v>
      </c>
    </row>
    <row r="468" spans="1:9" s="3" customFormat="1" ht="15">
      <c r="A468" s="2" t="s">
        <v>114</v>
      </c>
      <c r="B468" s="1"/>
      <c r="C468" s="7" t="str">
        <f>"(A.)"&amp;D467</f>
        <v>(A.)磁力。</v>
      </c>
      <c r="D468" s="2"/>
      <c r="E468" s="2"/>
      <c r="F468" s="2"/>
      <c r="G468" s="2"/>
      <c r="H468" s="2"/>
      <c r="I468" s="2"/>
    </row>
    <row r="469" spans="1:9" s="3" customFormat="1" ht="15">
      <c r="A469" s="2"/>
      <c r="B469" s="1"/>
      <c r="C469" s="7" t="str">
        <f>"(B.)"&amp;E467</f>
        <v>(B.)地心引力。</v>
      </c>
      <c r="D469" s="2"/>
      <c r="E469" s="2"/>
      <c r="F469" s="2"/>
      <c r="G469" s="2"/>
      <c r="H469" s="2"/>
      <c r="I469" s="2"/>
    </row>
    <row r="470" spans="1:9" s="3" customFormat="1" ht="15">
      <c r="A470" s="2"/>
      <c r="B470" s="2"/>
      <c r="C470" s="7" t="str">
        <f>"(C.)"&amp;F467</f>
        <v>(C.)摩擦力。</v>
      </c>
      <c r="D470" s="2"/>
      <c r="E470" s="2"/>
      <c r="F470" s="2"/>
      <c r="G470" s="2"/>
      <c r="H470" s="2"/>
      <c r="I470" s="2"/>
    </row>
    <row r="471" spans="1:9" s="3" customFormat="1" ht="15">
      <c r="A471" s="2"/>
      <c r="B471" s="2"/>
      <c r="C471" s="7" t="str">
        <f>"(D.)"&amp;G467</f>
        <v>(D.)靜電力。</v>
      </c>
      <c r="D471" s="2"/>
      <c r="E471" s="2"/>
      <c r="F471" s="2"/>
      <c r="G471" s="2"/>
      <c r="H471" s="2"/>
      <c r="I471" s="2"/>
    </row>
    <row r="472" spans="1:9" s="3" customFormat="1" ht="15">
      <c r="A472" s="2"/>
      <c r="B472" s="2"/>
      <c r="C472" s="7" t="str">
        <f>"答案是： "&amp;IF(H467="A.",C468,IF(H467="B.",C469,IF(H467="C.",C470,IF(H467=("D."),C471,"XXXX"))))</f>
        <v>答案是： (B.)地心引力。</v>
      </c>
      <c r="D472" s="2"/>
      <c r="E472" s="2"/>
      <c r="F472" s="2"/>
      <c r="G472" s="2"/>
      <c r="H472" s="2"/>
      <c r="I472" s="2"/>
    </row>
    <row r="473" spans="1:9" s="3" customFormat="1" ht="75">
      <c r="A473" s="2"/>
      <c r="B473" s="2"/>
      <c r="C473" s="7" t="str">
        <f>"說明："&amp;I467</f>
        <v>說明：重力是航空器本身之質量所受的地心引力（選項B.）。相關測驗題庫與規範可參考交通部民用航空局的遙控無人機學科測驗資料。飛行原理重點地心引力：指航空器質量所受的吸引力。過重會影響飛行表現。機身設計多用輕材料。</v>
      </c>
      <c r="D473" s="2"/>
      <c r="E473" s="2"/>
      <c r="F473" s="2"/>
      <c r="G473" s="2"/>
      <c r="H473" s="2"/>
      <c r="I473" s="2"/>
    </row>
    <row r="474" spans="1:9" s="3" customFormat="1" ht="30">
      <c r="A474" s="4" t="str">
        <f>dB題庫!A75</f>
        <v>74</v>
      </c>
      <c r="B474" s="4" t="str">
        <f>dB題庫!B75</f>
        <v>過重的重力對飛行有負面影響,故無人機機身的設計都是採用下列哪種材質</v>
      </c>
      <c r="C474" s="4" t="str">
        <f>A474&amp;"."&amp;B474</f>
        <v>74.過重的重力對飛行有負面影響,故無人機機身的設計都是採用下列哪種材質</v>
      </c>
      <c r="D474" s="4" t="str">
        <f>dB題庫!C75</f>
        <v>較輕。</v>
      </c>
      <c r="E474" s="4" t="str">
        <f>dB題庫!D75</f>
        <v>較重。</v>
      </c>
      <c r="F474" s="4" t="str">
        <f>dB題庫!E75</f>
        <v>時重時輕。</v>
      </c>
      <c r="G474" s="4" t="str">
        <f>dB題庫!F75</f>
        <v>以上皆非。</v>
      </c>
      <c r="H474" s="4" t="str">
        <f>dB題庫!G75</f>
        <v>A.</v>
      </c>
      <c r="I474" s="4" t="str">
        <f>dB題庫!H75</f>
        <v>無人機機身的設計都是採用(A.) 較輕的材質。設計原因減輕重量：減少地心引力帶來的負面影響。</v>
      </c>
    </row>
    <row r="475" spans="1:9" s="3" customFormat="1" ht="15">
      <c r="A475" s="2" t="s">
        <v>114</v>
      </c>
      <c r="B475" s="1"/>
      <c r="C475" s="7" t="str">
        <f>"(A.)"&amp;D474</f>
        <v>(A.)較輕。</v>
      </c>
      <c r="D475" s="2"/>
      <c r="E475" s="2"/>
      <c r="F475" s="2"/>
      <c r="G475" s="2"/>
      <c r="H475" s="2"/>
      <c r="I475" s="2"/>
    </row>
    <row r="476" spans="1:9" s="3" customFormat="1" ht="15">
      <c r="A476" s="2"/>
      <c r="B476" s="1"/>
      <c r="C476" s="7" t="str">
        <f>"(B.)"&amp;E474</f>
        <v>(B.)較重。</v>
      </c>
      <c r="D476" s="2"/>
      <c r="E476" s="2"/>
      <c r="F476" s="2"/>
      <c r="G476" s="2"/>
      <c r="H476" s="2"/>
      <c r="I476" s="2"/>
    </row>
    <row r="477" spans="1:9" s="3" customFormat="1" ht="15">
      <c r="A477" s="2"/>
      <c r="B477" s="2"/>
      <c r="C477" s="7" t="str">
        <f>"(C.)"&amp;F474</f>
        <v>(C.)時重時輕。</v>
      </c>
      <c r="D477" s="2"/>
      <c r="E477" s="2"/>
      <c r="F477" s="2"/>
      <c r="G477" s="2"/>
      <c r="H477" s="2"/>
      <c r="I477" s="2"/>
    </row>
    <row r="478" spans="1:9" s="3" customFormat="1" ht="15">
      <c r="A478" s="2"/>
      <c r="B478" s="2"/>
      <c r="C478" s="7" t="str">
        <f>"(D.)"&amp;G474</f>
        <v>(D.)以上皆非。</v>
      </c>
      <c r="D478" s="2"/>
      <c r="E478" s="2"/>
      <c r="F478" s="2"/>
      <c r="G478" s="2"/>
      <c r="H478" s="2"/>
      <c r="I478" s="2"/>
    </row>
    <row r="479" spans="1:9" s="3" customFormat="1" ht="15">
      <c r="A479" s="2"/>
      <c r="B479" s="2"/>
      <c r="C479" s="7" t="str">
        <f>"答案是： "&amp;IF(H474="A.",C475,IF(H474="B.",C476,IF(H474="C.",C477,IF(H474=("D."),C478,"XXXX"))))</f>
        <v>答案是： (A.)較輕。</v>
      </c>
      <c r="D479" s="2"/>
      <c r="E479" s="2"/>
      <c r="F479" s="2"/>
      <c r="G479" s="2"/>
      <c r="H479" s="2"/>
      <c r="I479" s="2"/>
    </row>
    <row r="480" spans="1:9" s="3" customFormat="1" ht="45">
      <c r="A480" s="2"/>
      <c r="B480" s="2"/>
      <c r="C480" s="7" t="str">
        <f>"說明："&amp;I474</f>
        <v>說明：無人機機身的設計都是採用(A.) 較輕的材質。設計原因減輕重量：減少地心引力帶來的負面影響。</v>
      </c>
      <c r="D480" s="2"/>
      <c r="E480" s="2"/>
      <c r="F480" s="2"/>
      <c r="G480" s="2"/>
      <c r="H480" s="2"/>
      <c r="I480" s="2"/>
    </row>
    <row r="481" spans="1:9" s="3" customFormat="1" ht="60">
      <c r="A481" s="4" t="str">
        <f>dB題庫!A76</f>
        <v>75</v>
      </c>
      <c r="B481" s="4" t="str">
        <f>dB題庫!B76</f>
        <v>升力和阻力是飛機在空氣之間的下列哪種行為中產生</v>
      </c>
      <c r="C481" s="4" t="str">
        <f>A481&amp;"."&amp;B481</f>
        <v>75.升力和阻力是飛機在空氣之間的下列哪種行為中產生</v>
      </c>
      <c r="D481" s="4" t="str">
        <f>dB題庫!C76</f>
        <v>分子光譜。</v>
      </c>
      <c r="E481" s="4" t="str">
        <f>dB題庫!D76</f>
        <v>動量守恆。</v>
      </c>
      <c r="F481" s="4" t="str">
        <f>dB題庫!E76</f>
        <v>相對運動(相對氣流)。</v>
      </c>
      <c r="G481" s="4" t="str">
        <f>dB題庫!F76</f>
        <v>雷諾傳輸。</v>
      </c>
      <c r="H481" s="4" t="str">
        <f>dB題庫!G76</f>
        <v>C.</v>
      </c>
      <c r="I481" s="4" t="str">
        <f>dB題庫!H76</f>
        <v>升力和阻力是飛機在空氣之中的相對運動（相對氣流）中產生的。當飛機在空氣中前進或空氣流經機翼時，機翼與空氣產生了相對速度。機翼的特殊形狀以及迎風角度（攻角）會迫使流動的空氣改變方向，進而產生垂直於氣流方向的向上分力（升力），以及平行於氣流方向的反作用阻力。</v>
      </c>
    </row>
    <row r="482" spans="1:9" s="3" customFormat="1" ht="15">
      <c r="A482" s="2" t="s">
        <v>114</v>
      </c>
      <c r="B482" s="1"/>
      <c r="C482" s="7" t="str">
        <f>"(A.)"&amp;D481</f>
        <v>(A.)分子光譜。</v>
      </c>
      <c r="D482" s="2"/>
      <c r="E482" s="2"/>
      <c r="F482" s="2"/>
      <c r="G482" s="2"/>
      <c r="H482" s="2"/>
      <c r="I482" s="2"/>
    </row>
    <row r="483" spans="1:9" s="3" customFormat="1" ht="15">
      <c r="A483" s="2"/>
      <c r="B483" s="1"/>
      <c r="C483" s="7" t="str">
        <f>"(B.)"&amp;E481</f>
        <v>(B.)動量守恆。</v>
      </c>
      <c r="D483" s="2"/>
      <c r="E483" s="2"/>
      <c r="F483" s="2"/>
      <c r="G483" s="2"/>
      <c r="H483" s="2"/>
      <c r="I483" s="2"/>
    </row>
    <row r="484" spans="1:9" s="3" customFormat="1" ht="15">
      <c r="A484" s="2"/>
      <c r="B484" s="2"/>
      <c r="C484" s="7" t="str">
        <f>"(C.)"&amp;F481</f>
        <v>(C.)相對運動(相對氣流)。</v>
      </c>
      <c r="D484" s="2"/>
      <c r="E484" s="2"/>
      <c r="F484" s="2"/>
      <c r="G484" s="2"/>
      <c r="H484" s="2"/>
      <c r="I484" s="2"/>
    </row>
    <row r="485" spans="1:9" s="3" customFormat="1" ht="15">
      <c r="A485" s="2"/>
      <c r="B485" s="2"/>
      <c r="C485" s="7" t="str">
        <f>"(D.)"&amp;G481</f>
        <v>(D.)雷諾傳輸。</v>
      </c>
      <c r="D485" s="2"/>
      <c r="E485" s="2"/>
      <c r="F485" s="2"/>
      <c r="G485" s="2"/>
      <c r="H485" s="2"/>
      <c r="I485" s="2"/>
    </row>
    <row r="486" spans="1:9" s="3" customFormat="1" ht="15">
      <c r="A486" s="2"/>
      <c r="B486" s="2"/>
      <c r="C486" s="7" t="str">
        <f>"答案是： "&amp;IF(H481="A.",C482,IF(H481="B.",C483,IF(H481="C.",C484,IF(H481=("D."),C485,"XXXX"))))</f>
        <v>答案是： (C.)相對運動(相對氣流)。</v>
      </c>
      <c r="D486" s="2"/>
      <c r="E486" s="2"/>
      <c r="F486" s="2"/>
      <c r="G486" s="2"/>
      <c r="H486" s="2"/>
      <c r="I486" s="2"/>
    </row>
    <row r="487" spans="1:9" s="3" customFormat="1" ht="105">
      <c r="A487" s="2"/>
      <c r="B487" s="2"/>
      <c r="C487" s="7" t="str">
        <f>"說明："&amp;I481</f>
        <v>說明：升力和阻力是飛機在空氣之中的相對運動（相對氣流）中產生的。當飛機在空氣中前進或空氣流經機翼時，機翼與空氣產生了相對速度。機翼的特殊形狀以及迎風角度（攻角）會迫使流動的空氣改變方向，進而產生垂直於氣流方向的向上分力（升力），以及平行於氣流方向的反作用阻力。</v>
      </c>
      <c r="D487" s="2"/>
      <c r="E487" s="2"/>
      <c r="F487" s="2"/>
      <c r="G487" s="2"/>
      <c r="H487" s="2"/>
      <c r="I487" s="2"/>
    </row>
    <row r="488" spans="1:9" s="3" customFormat="1" ht="75">
      <c r="A488" s="4" t="str">
        <f>dB題庫!A77</f>
        <v>76</v>
      </c>
      <c r="B488" s="4" t="str">
        <f>dB題庫!B77</f>
        <v>影響升力和阻力的基本因素除了飛機本身的特點,還有下列哪個因素</v>
      </c>
      <c r="C488" s="4" t="str">
        <f>A488&amp;"."&amp;B488</f>
        <v>76.影響升力和阻力的基本因素除了飛機本身的特點,還有下列哪個因素</v>
      </c>
      <c r="D488" s="4" t="str">
        <f>dB題庫!C77</f>
        <v>機翼在氣流中的相對位置(攻角)。</v>
      </c>
      <c r="E488" s="4" t="str">
        <f>dB題庫!D77</f>
        <v>氣流的速度。</v>
      </c>
      <c r="F488" s="4" t="str">
        <f>dB題庫!E77</f>
        <v>空氣密度。</v>
      </c>
      <c r="G488" s="4" t="str">
        <f>dB題庫!F77</f>
        <v>以上皆是。</v>
      </c>
      <c r="H488" s="4" t="str">
        <f>dB題庫!G77</f>
        <v>D.</v>
      </c>
      <c r="I488" s="4" t="str">
        <f>dB題庫!H77</f>
        <v>答案是 (D.) 以上皆是。除了飛機本身的特點外，影響升力和阻力的基本因素還包含攻角、氣流速度與空氣密度。影響因素細節機翼在氣流中的相對位置（攻角）：決定氣流迎向機翼的角度，直接影響升力與阻力的大小。氣流的速度：飛行速度越快，產生的升力和阻力也越大。空氣密度：空氣越濃厚（密度高），升力和阻力也會跟著增加。</v>
      </c>
    </row>
    <row r="489" spans="1:9" s="3" customFormat="1" ht="15">
      <c r="A489" s="2" t="s">
        <v>114</v>
      </c>
      <c r="B489" s="1"/>
      <c r="C489" s="7" t="str">
        <f>"(A.)"&amp;D488</f>
        <v>(A.)機翼在氣流中的相對位置(攻角)。</v>
      </c>
      <c r="D489" s="2"/>
      <c r="E489" s="2"/>
      <c r="F489" s="2"/>
      <c r="G489" s="2"/>
      <c r="H489" s="2"/>
      <c r="I489" s="2"/>
    </row>
    <row r="490" spans="1:9" s="3" customFormat="1" ht="15">
      <c r="A490" s="2"/>
      <c r="B490" s="1"/>
      <c r="C490" s="7" t="str">
        <f>"(B.)"&amp;E488</f>
        <v>(B.)氣流的速度。</v>
      </c>
      <c r="D490" s="2"/>
      <c r="E490" s="2"/>
      <c r="F490" s="2"/>
      <c r="G490" s="2"/>
      <c r="H490" s="2"/>
      <c r="I490" s="2"/>
    </row>
    <row r="491" spans="1:9" s="3" customFormat="1" ht="15">
      <c r="A491" s="2"/>
      <c r="B491" s="2"/>
      <c r="C491" s="7" t="str">
        <f>"(C.)"&amp;F488</f>
        <v>(C.)空氣密度。</v>
      </c>
      <c r="D491" s="2"/>
      <c r="E491" s="2"/>
      <c r="F491" s="2"/>
      <c r="G491" s="2"/>
      <c r="H491" s="2"/>
      <c r="I491" s="2"/>
    </row>
    <row r="492" spans="1:9" s="3" customFormat="1" ht="15">
      <c r="A492" s="2"/>
      <c r="B492" s="2"/>
      <c r="C492" s="7" t="str">
        <f>"(D.)"&amp;G488</f>
        <v>(D.)以上皆是。</v>
      </c>
      <c r="D492" s="2"/>
      <c r="E492" s="2"/>
      <c r="F492" s="2"/>
      <c r="G492" s="2"/>
      <c r="H492" s="2"/>
      <c r="I492" s="2"/>
    </row>
    <row r="493" spans="1:9" s="3" customFormat="1" ht="15">
      <c r="A493" s="2"/>
      <c r="B493" s="2"/>
      <c r="C493" s="7" t="str">
        <f>"答案是： "&amp;IF(H488="A.",C489,IF(H488="B.",C490,IF(H488="C.",C491,IF(H488=("D."),C492,"XXXX"))))</f>
        <v>答案是： (D.)以上皆是。</v>
      </c>
      <c r="D493" s="2"/>
      <c r="E493" s="2"/>
      <c r="F493" s="2"/>
      <c r="G493" s="2"/>
      <c r="H493" s="2"/>
      <c r="I493" s="2"/>
    </row>
    <row r="494" spans="1:9" s="3" customFormat="1" ht="120">
      <c r="A494" s="2"/>
      <c r="B494" s="2"/>
      <c r="C494" s="7" t="str">
        <f>"說明："&amp;I488</f>
        <v>說明：答案是 (D.) 以上皆是。除了飛機本身的特點外，影響升力和阻力的基本因素還包含攻角、氣流速度與空氣密度。影響因素細節機翼在氣流中的相對位置（攻角）：決定氣流迎向機翼的角度，直接影響升力與阻力的大小。氣流的速度：飛行速度越快，產生的升力和阻力也越大。空氣密度：空氣越濃厚（密度高），升力和阻力也會跟著增加。</v>
      </c>
      <c r="D494" s="2"/>
      <c r="E494" s="2"/>
      <c r="F494" s="2"/>
      <c r="G494" s="2"/>
      <c r="H494" s="2"/>
      <c r="I494" s="2"/>
    </row>
    <row r="495" spans="1:9" s="3" customFormat="1" ht="30">
      <c r="A495" s="4" t="str">
        <f>dB題庫!A78</f>
        <v>77</v>
      </c>
      <c r="B495" s="4" t="str">
        <f>dB題庫!B78</f>
        <v>相對氣流方向與翼弦所夾的角度叫下列哪個角</v>
      </c>
      <c r="C495" s="4" t="str">
        <f>A495&amp;"."&amp;B495</f>
        <v>77.相對氣流方向與翼弦所夾的角度叫下列哪個角</v>
      </c>
      <c r="D495" s="4" t="str">
        <f>dB題庫!C78</f>
        <v>俯仰角。</v>
      </c>
      <c r="E495" s="4" t="str">
        <f>dB題庫!D78</f>
        <v>滾轉角。</v>
      </c>
      <c r="F495" s="4" t="str">
        <f>dB題庫!E78</f>
        <v>攻角。</v>
      </c>
      <c r="G495" s="4" t="str">
        <f>dB題庫!F78</f>
        <v>偏航角。</v>
      </c>
      <c r="H495" s="4" t="str">
        <f>dB題庫!G78</f>
        <v>C.</v>
      </c>
      <c r="I495" s="4" t="str">
        <f>dB題庫!H78</f>
        <v>相對氣流方向與翼弦所夾的角度稱為攻角（Angle of Attack，簡稱 A O A），在部分航空領域與學科考試中也稱為迎角。它直接影響機翼產生的升力大小。</v>
      </c>
    </row>
    <row r="496" spans="1:9" s="3" customFormat="1" ht="15">
      <c r="A496" s="2" t="s">
        <v>114</v>
      </c>
      <c r="B496" s="1"/>
      <c r="C496" s="7" t="str">
        <f>"(A.)"&amp;D495</f>
        <v>(A.)俯仰角。</v>
      </c>
      <c r="D496" s="2"/>
      <c r="E496" s="2"/>
      <c r="F496" s="2"/>
      <c r="G496" s="2"/>
      <c r="H496" s="2"/>
      <c r="I496" s="2"/>
    </row>
    <row r="497" spans="1:9" s="3" customFormat="1" ht="15">
      <c r="A497" s="2"/>
      <c r="B497" s="1"/>
      <c r="C497" s="7" t="str">
        <f>"(B.)"&amp;E495</f>
        <v>(B.)滾轉角。</v>
      </c>
      <c r="D497" s="2"/>
      <c r="E497" s="2"/>
      <c r="F497" s="2"/>
      <c r="G497" s="2"/>
      <c r="H497" s="2"/>
      <c r="I497" s="2"/>
    </row>
    <row r="498" spans="1:9" s="3" customFormat="1" ht="15">
      <c r="A498" s="2"/>
      <c r="B498" s="2"/>
      <c r="C498" s="7" t="str">
        <f>"(C.)"&amp;F495</f>
        <v>(C.)攻角。</v>
      </c>
      <c r="D498" s="2"/>
      <c r="E498" s="2"/>
      <c r="F498" s="2"/>
      <c r="G498" s="2"/>
      <c r="H498" s="2"/>
      <c r="I498" s="2"/>
    </row>
    <row r="499" spans="1:9" s="3" customFormat="1" ht="15">
      <c r="A499" s="2"/>
      <c r="B499" s="2"/>
      <c r="C499" s="7" t="str">
        <f>"(D.)"&amp;G495</f>
        <v>(D.)偏航角。</v>
      </c>
      <c r="D499" s="2"/>
      <c r="E499" s="2"/>
      <c r="F499" s="2"/>
      <c r="G499" s="2"/>
      <c r="H499" s="2"/>
      <c r="I499" s="2"/>
    </row>
    <row r="500" spans="1:9" s="3" customFormat="1" ht="15">
      <c r="A500" s="2"/>
      <c r="B500" s="2"/>
      <c r="C500" s="7" t="str">
        <f>"答案是： "&amp;IF(H495="A.",C496,IF(H495="B.",C497,IF(H495="C.",C498,IF(H495=("D."),C499,"XXXX"))))</f>
        <v>答案是： (C.)攻角。</v>
      </c>
      <c r="D500" s="2"/>
      <c r="E500" s="2"/>
      <c r="F500" s="2"/>
      <c r="G500" s="2"/>
      <c r="H500" s="2"/>
      <c r="I500" s="2"/>
    </row>
    <row r="501" spans="1:9" s="3" customFormat="1" ht="60">
      <c r="A501" s="2"/>
      <c r="B501" s="2"/>
      <c r="C501" s="7" t="str">
        <f>"說明："&amp;I495</f>
        <v>說明：相對氣流方向與翼弦所夾的角度稱為攻角（Angle of Attack，簡稱 A O A），在部分航空領域與學科考試中也稱為迎角。它直接影響機翼產生的升力大小。</v>
      </c>
      <c r="D501" s="2"/>
      <c r="E501" s="2"/>
      <c r="F501" s="2"/>
      <c r="G501" s="2"/>
      <c r="H501" s="2"/>
      <c r="I501" s="2"/>
    </row>
    <row r="502" spans="1:9" s="3" customFormat="1" ht="45">
      <c r="A502" s="4" t="str">
        <f>dB題庫!A79</f>
        <v>78</v>
      </c>
      <c r="B502" s="4" t="str">
        <f>dB題庫!B79</f>
        <v>在飛行速度等其它條件相同的情況下,得到最大升力的攻角,叫做下列哪個項目</v>
      </c>
      <c r="C502" s="4" t="str">
        <f>A502&amp;"."&amp;B502</f>
        <v>78.在飛行速度等其它條件相同的情況下,得到最大升力的攻角,叫做下列哪個項目</v>
      </c>
      <c r="D502" s="4" t="str">
        <f>dB題庫!C79</f>
        <v>理想攻角。</v>
      </c>
      <c r="E502" s="4" t="str">
        <f>dB題庫!D79</f>
        <v>臨界攻角。</v>
      </c>
      <c r="F502" s="4" t="str">
        <f>dB題庫!E79</f>
        <v>牛頓攻角。</v>
      </c>
      <c r="G502" s="4" t="str">
        <f>dB題庫!F79</f>
        <v>萊布尼茲攻角。</v>
      </c>
      <c r="H502" s="4" t="str">
        <f>dB題庫!G79</f>
        <v>B.</v>
      </c>
      <c r="I502" s="4" t="str">
        <f>dB題庫!H79</f>
        <v>在飛行速度等其它條件相同的情況下，得到最大升力的攻角，叫做臨界攻角。在此攻角範圍內增加攻角，升力會隨之增大；但若超過臨界攻角，氣流將無法平順流過機翼上表面而產生剝離與紊流，導致升力反而減小並急劇增加阻力。</v>
      </c>
    </row>
    <row r="503" spans="1:9" s="3" customFormat="1" ht="15">
      <c r="A503" s="2" t="s">
        <v>114</v>
      </c>
      <c r="B503" s="1"/>
      <c r="C503" s="7" t="str">
        <f>"(A.)"&amp;D502</f>
        <v>(A.)理想攻角。</v>
      </c>
      <c r="D503" s="2"/>
      <c r="E503" s="2"/>
      <c r="F503" s="2"/>
      <c r="G503" s="2"/>
      <c r="H503" s="2"/>
      <c r="I503" s="2"/>
    </row>
    <row r="504" spans="1:9" s="3" customFormat="1" ht="15">
      <c r="A504" s="2"/>
      <c r="B504" s="1"/>
      <c r="C504" s="7" t="str">
        <f>"(B.)"&amp;E502</f>
        <v>(B.)臨界攻角。</v>
      </c>
      <c r="D504" s="2"/>
      <c r="E504" s="2"/>
      <c r="F504" s="2"/>
      <c r="G504" s="2"/>
      <c r="H504" s="2"/>
      <c r="I504" s="2"/>
    </row>
    <row r="505" spans="1:9" s="3" customFormat="1" ht="15">
      <c r="A505" s="2"/>
      <c r="B505" s="2"/>
      <c r="C505" s="7" t="str">
        <f>"(C.)"&amp;F502</f>
        <v>(C.)牛頓攻角。</v>
      </c>
      <c r="D505" s="2"/>
      <c r="E505" s="2"/>
      <c r="F505" s="2"/>
      <c r="G505" s="2"/>
      <c r="H505" s="2"/>
      <c r="I505" s="2"/>
    </row>
    <row r="506" spans="1:9" s="3" customFormat="1" ht="15">
      <c r="A506" s="2"/>
      <c r="B506" s="2"/>
      <c r="C506" s="7" t="str">
        <f>"(D.)"&amp;G502</f>
        <v>(D.)萊布尼茲攻角。</v>
      </c>
      <c r="D506" s="2"/>
      <c r="E506" s="2"/>
      <c r="F506" s="2"/>
      <c r="G506" s="2"/>
      <c r="H506" s="2"/>
      <c r="I506" s="2"/>
    </row>
    <row r="507" spans="1:9" s="3" customFormat="1" ht="15">
      <c r="A507" s="2"/>
      <c r="B507" s="2"/>
      <c r="C507" s="7" t="str">
        <f>"答案是： "&amp;IF(H502="A.",C503,IF(H502="B.",C504,IF(H502="C.",C505,IF(H502=("D."),C506,"XXXX"))))</f>
        <v>答案是： (B.)臨界攻角。</v>
      </c>
      <c r="D507" s="2"/>
      <c r="E507" s="2"/>
      <c r="F507" s="2"/>
      <c r="G507" s="2"/>
      <c r="H507" s="2"/>
      <c r="I507" s="2"/>
    </row>
    <row r="508" spans="1:9" s="3" customFormat="1" ht="75">
      <c r="A508" s="2"/>
      <c r="B508" s="2"/>
      <c r="C508" s="7" t="str">
        <f>"說明："&amp;I502</f>
        <v>說明：在飛行速度等其它條件相同的情況下，得到最大升力的攻角，叫做臨界攻角。在此攻角範圍內增加攻角，升力會隨之增大；但若超過臨界攻角，氣流將無法平順流過機翼上表面而產生剝離與紊流，導致升力反而減小並急劇增加阻力。</v>
      </c>
      <c r="D508" s="2"/>
      <c r="E508" s="2"/>
      <c r="F508" s="2"/>
      <c r="G508" s="2"/>
      <c r="H508" s="2"/>
      <c r="I508" s="2"/>
    </row>
    <row r="509" spans="1:9" s="3" customFormat="1" ht="45">
      <c r="A509" s="4" t="str">
        <f>dB題庫!A80</f>
        <v>79</v>
      </c>
      <c r="B509" s="4" t="str">
        <f>dB題庫!B80</f>
        <v>在小於臨界攻角範圍內增大攻角,會有下列哪種結果</v>
      </c>
      <c r="C509" s="4" t="str">
        <f>A509&amp;"."&amp;B509</f>
        <v>79.在小於臨界攻角範圍內增大攻角,會有下列哪種結果</v>
      </c>
      <c r="D509" s="4" t="str">
        <f>dB題庫!C80</f>
        <v>升力增大。</v>
      </c>
      <c r="E509" s="4" t="str">
        <f>dB題庫!D80</f>
        <v>升力減少。</v>
      </c>
      <c r="F509" s="4" t="str">
        <f>dB題庫!E80</f>
        <v>升力不變。</v>
      </c>
      <c r="G509" s="4" t="str">
        <f>dB題庫!F80</f>
        <v>以上皆非。</v>
      </c>
      <c r="H509" s="4" t="str">
        <f>dB題庫!G80</f>
        <v>A.</v>
      </c>
      <c r="I509" s="4" t="str">
        <f>dB題庫!H80</f>
        <v>臨界攻角(Critical Angle of Attack)是機翼能夠獲得最大升力的極限角度。當攻角小於臨界攻角時，增大攻角會使升力增加；一旦超過該角度，氣流將在機翼表面發生劇烈分離，導致失速(Stall)。</v>
      </c>
    </row>
    <row r="510" spans="1:9" s="3" customFormat="1" ht="15">
      <c r="A510" s="2" t="s">
        <v>114</v>
      </c>
      <c r="B510" s="1"/>
      <c r="C510" s="7" t="str">
        <f>"(A.)"&amp;D509</f>
        <v>(A.)升力增大。</v>
      </c>
      <c r="D510" s="2"/>
      <c r="E510" s="2"/>
      <c r="F510" s="2"/>
      <c r="G510" s="2"/>
      <c r="H510" s="2"/>
      <c r="I510" s="2"/>
    </row>
    <row r="511" spans="1:9" s="3" customFormat="1" ht="15">
      <c r="A511" s="2"/>
      <c r="B511" s="1"/>
      <c r="C511" s="7" t="str">
        <f>"(B.)"&amp;E509</f>
        <v>(B.)升力減少。</v>
      </c>
      <c r="D511" s="2"/>
      <c r="E511" s="2"/>
      <c r="F511" s="2"/>
      <c r="G511" s="2"/>
      <c r="H511" s="2"/>
      <c r="I511" s="2"/>
    </row>
    <row r="512" spans="1:9" s="3" customFormat="1" ht="15">
      <c r="A512" s="2"/>
      <c r="B512" s="2"/>
      <c r="C512" s="7" t="str">
        <f>"(C.)"&amp;F509</f>
        <v>(C.)升力不變。</v>
      </c>
      <c r="D512" s="2"/>
      <c r="E512" s="2"/>
      <c r="F512" s="2"/>
      <c r="G512" s="2"/>
      <c r="H512" s="2"/>
      <c r="I512" s="2"/>
    </row>
    <row r="513" spans="1:9" s="3" customFormat="1" ht="15">
      <c r="A513" s="2"/>
      <c r="B513" s="2"/>
      <c r="C513" s="7" t="str">
        <f>"(D.)"&amp;G509</f>
        <v>(D.)以上皆非。</v>
      </c>
      <c r="D513" s="2"/>
      <c r="E513" s="2"/>
      <c r="F513" s="2"/>
      <c r="G513" s="2"/>
      <c r="H513" s="2"/>
      <c r="I513" s="2"/>
    </row>
    <row r="514" spans="1:9" s="3" customFormat="1" ht="15">
      <c r="A514" s="2"/>
      <c r="B514" s="2"/>
      <c r="C514" s="7" t="str">
        <f>"答案是： "&amp;IF(H509="A.",C510,IF(H509="B.",C511,IF(H509="C.",C512,IF(H509=("D."),C513,"XXXX"))))</f>
        <v>答案是： (A.)升力增大。</v>
      </c>
      <c r="D514" s="2"/>
      <c r="E514" s="2"/>
      <c r="F514" s="2"/>
      <c r="G514" s="2"/>
      <c r="H514" s="2"/>
      <c r="I514" s="2"/>
    </row>
    <row r="515" spans="1:9" s="3" customFormat="1" ht="75">
      <c r="A515" s="2"/>
      <c r="B515" s="2"/>
      <c r="C515" s="7" t="str">
        <f>"說明："&amp;I509</f>
        <v>說明：臨界攻角(Critical Angle of Attack)是機翼能夠獲得最大升力的極限角度。當攻角小於臨界攻角時，增大攻角會使升力增加；一旦超過該角度，氣流將在機翼表面發生劇烈分離，導致失速(Stall)。</v>
      </c>
      <c r="D515" s="2"/>
      <c r="E515" s="2"/>
      <c r="F515" s="2"/>
      <c r="G515" s="2"/>
      <c r="H515" s="2"/>
      <c r="I515" s="2"/>
    </row>
    <row r="516" spans="1:9" s="3" customFormat="1" ht="60">
      <c r="A516" s="4" t="str">
        <f>dB題庫!A81</f>
        <v>80</v>
      </c>
      <c r="B516" s="4" t="str">
        <f>dB題庫!B81</f>
        <v>空氣密度大,相對氣流速度快,升力和阻力會有下列哪種變化</v>
      </c>
      <c r="C516" s="4" t="str">
        <f>A516&amp;"."&amp;B516</f>
        <v>80.空氣密度大,相對氣流速度快,升力和阻力會有下列哪種變化</v>
      </c>
      <c r="D516" s="4" t="str">
        <f>dB題庫!C81</f>
        <v>升力越大、阻力越小。</v>
      </c>
      <c r="E516" s="4" t="str">
        <f>dB題庫!D81</f>
        <v>升力越小、阻力越大。</v>
      </c>
      <c r="F516" s="4" t="str">
        <f>dB題庫!E81</f>
        <v>升力和阻力越大。</v>
      </c>
      <c r="G516" s="4" t="str">
        <f>dB題庫!F81</f>
        <v>升力和阻力越小。</v>
      </c>
      <c r="H516" s="4" t="str">
        <f>dB題庫!G81</f>
        <v>C.</v>
      </c>
      <c r="I516" s="4" t="str">
        <f>dB題庫!H81</f>
        <v>空氣密度大、相對氣流速度快時，升力和阻力都會變大。根據空氣動力學的升力與阻力公式，這兩者皆與「空氣密度」和「相對氣流速度的平方」成正比。因此，當空氣密度增加且氣流速度加快時，機翼產生的向上升力會增大，同時機身所受到的空氣阻力也會隨之變大。</v>
      </c>
    </row>
    <row r="517" spans="1:9" s="3" customFormat="1" ht="15">
      <c r="A517" s="2" t="s">
        <v>114</v>
      </c>
      <c r="B517" s="1"/>
      <c r="C517" s="7" t="str">
        <f>"(A.)"&amp;D516</f>
        <v>(A.)升力越大、阻力越小。</v>
      </c>
      <c r="D517" s="2"/>
      <c r="E517" s="2"/>
      <c r="F517" s="2"/>
      <c r="G517" s="2"/>
      <c r="H517" s="2"/>
      <c r="I517" s="2"/>
    </row>
    <row r="518" spans="1:9" s="3" customFormat="1" ht="15">
      <c r="A518" s="2"/>
      <c r="B518" s="1"/>
      <c r="C518" s="7" t="str">
        <f>"(B.)"&amp;E516</f>
        <v>(B.)升力越小、阻力越大。</v>
      </c>
      <c r="D518" s="2"/>
      <c r="E518" s="2"/>
      <c r="F518" s="2"/>
      <c r="G518" s="2"/>
      <c r="H518" s="2"/>
      <c r="I518" s="2"/>
    </row>
    <row r="519" spans="1:9" s="3" customFormat="1" ht="15">
      <c r="A519" s="2"/>
      <c r="B519" s="2"/>
      <c r="C519" s="7" t="str">
        <f>"(C.)"&amp;F516</f>
        <v>(C.)升力和阻力越大。</v>
      </c>
      <c r="D519" s="2"/>
      <c r="E519" s="2"/>
      <c r="F519" s="2"/>
      <c r="G519" s="2"/>
      <c r="H519" s="2"/>
      <c r="I519" s="2"/>
    </row>
    <row r="520" spans="1:9" s="3" customFormat="1" ht="15">
      <c r="A520" s="2"/>
      <c r="B520" s="2"/>
      <c r="C520" s="7" t="str">
        <f>"(D.)"&amp;G516</f>
        <v>(D.)升力和阻力越小。</v>
      </c>
      <c r="D520" s="2"/>
      <c r="E520" s="2"/>
      <c r="F520" s="2"/>
      <c r="G520" s="2"/>
      <c r="H520" s="2"/>
      <c r="I520" s="2"/>
    </row>
    <row r="521" spans="1:9" s="3" customFormat="1" ht="15">
      <c r="A521" s="2"/>
      <c r="B521" s="2"/>
      <c r="C521" s="7" t="str">
        <f>"答案是： "&amp;IF(H516="A.",C517,IF(H516="B.",C518,IF(H516="C.",C519,IF(H516=("D."),C520,"XXXX"))))</f>
        <v>答案是： (C.)升力和阻力越大。</v>
      </c>
      <c r="D521" s="2"/>
      <c r="E521" s="2"/>
      <c r="F521" s="2"/>
      <c r="G521" s="2"/>
      <c r="H521" s="2"/>
      <c r="I521" s="2"/>
    </row>
    <row r="522" spans="1:9" s="3" customFormat="1" ht="90">
      <c r="A522" s="2"/>
      <c r="B522" s="2"/>
      <c r="C522" s="7" t="str">
        <f>"說明："&amp;I516</f>
        <v>說明：空氣密度大、相對氣流速度快時，升力和阻力都會變大。根據空氣動力學的升力與阻力公式，這兩者皆與「空氣密度」和「相對氣流速度的平方」成正比。因此，當空氣密度增加且氣流速度加快時，機翼產生的向上升力會增大，同時機身所受到的空氣阻力也會隨之變大。</v>
      </c>
      <c r="D522" s="2"/>
      <c r="E522" s="2"/>
      <c r="F522" s="2"/>
      <c r="G522" s="2"/>
      <c r="H522" s="2"/>
      <c r="I522" s="2"/>
    </row>
    <row r="523" spans="1:9" s="3" customFormat="1" ht="45">
      <c r="A523" s="4" t="str">
        <f>dB題庫!A82</f>
        <v>81</v>
      </c>
      <c r="B523" s="4" t="str">
        <f>dB題庫!B82</f>
        <v>機翼面積大,升力和阻力會有下列哪種變化</v>
      </c>
      <c r="C523" s="4" t="str">
        <f>A523&amp;"."&amp;B523</f>
        <v>81.機翼面積大,升力和阻力會有下列哪種變化</v>
      </c>
      <c r="D523" s="4" t="str">
        <f>dB題庫!C82</f>
        <v>升力越大、阻力越小。</v>
      </c>
      <c r="E523" s="4" t="str">
        <f>dB題庫!D82</f>
        <v>升力越小、阻力越大。</v>
      </c>
      <c r="F523" s="4" t="str">
        <f>dB題庫!E82</f>
        <v>升力和阻力越小。</v>
      </c>
      <c r="G523" s="4" t="str">
        <f>dB題庫!F82</f>
        <v>升力和阻力越大。</v>
      </c>
      <c r="H523" s="4" t="str">
        <f>dB題庫!G82</f>
        <v>D.</v>
      </c>
      <c r="I523" s="4" t="str">
        <f>dB題庫!H82</f>
        <v>機翼面積越大，產生的升力越大、阻力也越大。在空氣動力學中，升力與阻力的大小均與機翼面積成正比；雖然較大的面積能在低速時提供更好的舉升效果，但同時也會增加機身前進時的摩擦與形狀阻力。</v>
      </c>
    </row>
    <row r="524" spans="1:9" s="3" customFormat="1" ht="15">
      <c r="A524" s="2" t="s">
        <v>114</v>
      </c>
      <c r="B524" s="1"/>
      <c r="C524" s="7" t="str">
        <f>"(A.)"&amp;D523</f>
        <v>(A.)升力越大、阻力越小。</v>
      </c>
      <c r="D524" s="2"/>
      <c r="E524" s="2"/>
      <c r="F524" s="2"/>
      <c r="G524" s="2"/>
      <c r="H524" s="2"/>
      <c r="I524" s="2"/>
    </row>
    <row r="525" spans="1:9" s="3" customFormat="1" ht="15">
      <c r="A525" s="2"/>
      <c r="B525" s="1"/>
      <c r="C525" s="7" t="str">
        <f>"(B.)"&amp;E523</f>
        <v>(B.)升力越小、阻力越大。</v>
      </c>
      <c r="D525" s="2"/>
      <c r="E525" s="2"/>
      <c r="F525" s="2"/>
      <c r="G525" s="2"/>
      <c r="H525" s="2"/>
      <c r="I525" s="2"/>
    </row>
    <row r="526" spans="1:9" s="3" customFormat="1" ht="15">
      <c r="A526" s="2"/>
      <c r="B526" s="2"/>
      <c r="C526" s="7" t="str">
        <f>"(C.)"&amp;F523</f>
        <v>(C.)升力和阻力越小。</v>
      </c>
      <c r="D526" s="2"/>
      <c r="E526" s="2"/>
      <c r="F526" s="2"/>
      <c r="G526" s="2"/>
      <c r="H526" s="2"/>
      <c r="I526" s="2"/>
    </row>
    <row r="527" spans="1:9" s="3" customFormat="1" ht="15">
      <c r="A527" s="2"/>
      <c r="B527" s="2"/>
      <c r="C527" s="7" t="str">
        <f>"(D.)"&amp;G523</f>
        <v>(D.)升力和阻力越大。</v>
      </c>
      <c r="D527" s="2"/>
      <c r="E527" s="2"/>
      <c r="F527" s="2"/>
      <c r="G527" s="2"/>
      <c r="H527" s="2"/>
      <c r="I527" s="2"/>
    </row>
    <row r="528" spans="1:9" s="3" customFormat="1" ht="15">
      <c r="A528" s="2"/>
      <c r="B528" s="2"/>
      <c r="C528" s="7" t="str">
        <f>"答案是： "&amp;IF(H523="A.",C524,IF(H523="B.",C525,IF(H523="C.",C526,IF(H523=("D."),C527,"XXXX"))))</f>
        <v>答案是： (D.)升力和阻力越大。</v>
      </c>
      <c r="D528" s="2"/>
      <c r="E528" s="2"/>
      <c r="F528" s="2"/>
      <c r="G528" s="2"/>
      <c r="H528" s="2"/>
      <c r="I528" s="2"/>
    </row>
    <row r="529" spans="1:9" s="3" customFormat="1" ht="75">
      <c r="A529" s="2"/>
      <c r="B529" s="2"/>
      <c r="C529" s="7" t="str">
        <f>"說明："&amp;I523</f>
        <v>說明：機翼面積越大，產生的升力越大、阻力也越大。在空氣動力學中，升力與阻力的大小均與機翼面積成正比；雖然較大的面積能在低速時提供更好的舉升效果，但同時也會增加機身前進時的摩擦與形狀阻力。</v>
      </c>
      <c r="D529" s="2"/>
      <c r="E529" s="2"/>
      <c r="F529" s="2"/>
      <c r="G529" s="2"/>
      <c r="H529" s="2"/>
      <c r="I529" s="2"/>
    </row>
    <row r="530" spans="1:9" s="3" customFormat="1" ht="45">
      <c r="A530" s="4" t="str">
        <f>dB題庫!A83</f>
        <v>82</v>
      </c>
      <c r="B530" s="4" t="str">
        <f>dB題庫!B83</f>
        <v>升力和阻力與機翼面積大小的關係是下列哪種</v>
      </c>
      <c r="C530" s="4" t="str">
        <f>A530&amp;"."&amp;B530</f>
        <v>82.升力和阻力與機翼面積大小的關係是下列哪種</v>
      </c>
      <c r="D530" s="4" t="str">
        <f>dB題庫!C83</f>
        <v>都與機翼面積大小成正比。</v>
      </c>
      <c r="E530" s="4" t="str">
        <f>dB題庫!D83</f>
        <v>都與機翼面積大小成反比。</v>
      </c>
      <c r="F530" s="4" t="str">
        <f>dB題庫!E83</f>
        <v>都與機翼面積大小的平方成正比。</v>
      </c>
      <c r="G530" s="4" t="str">
        <f>dB題庫!F83</f>
        <v>都與機翼面積大小的平方成反比。</v>
      </c>
      <c r="H530" s="4" t="str">
        <f>dB題庫!G83</f>
        <v>A.</v>
      </c>
      <c r="I530" s="4" t="str">
        <f>dB題庫!H83</f>
        <v>升力與阻力兩者均與機翼面積的大小成正比。在飛行速度及氣流條件相同的情況下，機翼的面積越大，所能產生的升力就越大，但同時伴隨而來的空氣阻力也會隨之增加。</v>
      </c>
    </row>
    <row r="531" spans="1:9" s="3" customFormat="1" ht="15">
      <c r="A531" s="2" t="s">
        <v>114</v>
      </c>
      <c r="B531" s="1"/>
      <c r="C531" s="7" t="str">
        <f>"(A.)"&amp;D530</f>
        <v>(A.)都與機翼面積大小成正比。</v>
      </c>
      <c r="D531" s="2"/>
      <c r="E531" s="2"/>
      <c r="F531" s="2"/>
      <c r="G531" s="2"/>
      <c r="H531" s="2"/>
      <c r="I531" s="2"/>
    </row>
    <row r="532" spans="1:9" s="3" customFormat="1" ht="15">
      <c r="A532" s="2"/>
      <c r="B532" s="1"/>
      <c r="C532" s="7" t="str">
        <f>"(B.)"&amp;E530</f>
        <v>(B.)都與機翼面積大小成反比。</v>
      </c>
      <c r="D532" s="2"/>
      <c r="E532" s="2"/>
      <c r="F532" s="2"/>
      <c r="G532" s="2"/>
      <c r="H532" s="2"/>
      <c r="I532" s="2"/>
    </row>
    <row r="533" spans="1:9" s="3" customFormat="1" ht="15">
      <c r="A533" s="2"/>
      <c r="B533" s="2"/>
      <c r="C533" s="7" t="str">
        <f>"(C.)"&amp;F530</f>
        <v>(C.)都與機翼面積大小的平方成正比。</v>
      </c>
      <c r="D533" s="2"/>
      <c r="E533" s="2"/>
      <c r="F533" s="2"/>
      <c r="G533" s="2"/>
      <c r="H533" s="2"/>
      <c r="I533" s="2"/>
    </row>
    <row r="534" spans="1:9" s="3" customFormat="1" ht="15">
      <c r="A534" s="2"/>
      <c r="B534" s="2"/>
      <c r="C534" s="7" t="str">
        <f>"(D.)"&amp;G530</f>
        <v>(D.)都與機翼面積大小的平方成反比。</v>
      </c>
      <c r="D534" s="2"/>
      <c r="E534" s="2"/>
      <c r="F534" s="2"/>
      <c r="G534" s="2"/>
      <c r="H534" s="2"/>
      <c r="I534" s="2"/>
    </row>
    <row r="535" spans="1:9" s="3" customFormat="1" ht="15">
      <c r="A535" s="2"/>
      <c r="B535" s="2"/>
      <c r="C535" s="7" t="str">
        <f>"答案是： "&amp;IF(H530="A.",C531,IF(H530="B.",C532,IF(H530="C.",C533,IF(H530=("D."),C534,"XXXX"))))</f>
        <v>答案是： (A.)都與機翼面積大小成正比。</v>
      </c>
      <c r="D535" s="2"/>
      <c r="E535" s="2"/>
      <c r="F535" s="2"/>
      <c r="G535" s="2"/>
      <c r="H535" s="2"/>
      <c r="I535" s="2"/>
    </row>
    <row r="536" spans="1:9" s="3" customFormat="1" ht="60">
      <c r="A536" s="2"/>
      <c r="B536" s="2"/>
      <c r="C536" s="7" t="str">
        <f>"說明："&amp;I530</f>
        <v>說明：升力與阻力兩者均與機翼面積的大小成正比。在飛行速度及氣流條件相同的情況下，機翼的面積越大，所能產生的升力就越大，但同時伴隨而來的空氣阻力也會隨之增加。</v>
      </c>
      <c r="D536" s="2"/>
      <c r="E536" s="2"/>
      <c r="F536" s="2"/>
      <c r="G536" s="2"/>
      <c r="H536" s="2"/>
      <c r="I536" s="2"/>
    </row>
    <row r="537" spans="1:9" s="3" customFormat="1" ht="45">
      <c r="A537" s="4" t="str">
        <f>dB題庫!A84</f>
        <v>83</v>
      </c>
      <c r="B537" s="4" t="str">
        <f>dB題庫!B84</f>
        <v>機翼形狀對下列哪個項目有很大影響</v>
      </c>
      <c r="C537" s="4" t="str">
        <f>A537&amp;"."&amp;B537</f>
        <v>83.機翼形狀對下列哪個項目有很大影響</v>
      </c>
      <c r="D537" s="4" t="str">
        <f>dB題庫!C84</f>
        <v>磁力。</v>
      </c>
      <c r="E537" s="4" t="str">
        <f>dB題庫!D84</f>
        <v>升力、阻力。</v>
      </c>
      <c r="F537" s="4" t="str">
        <f>dB題庫!E84</f>
        <v>重力。</v>
      </c>
      <c r="G537" s="4" t="str">
        <f>dB題庫!F84</f>
        <v>以上皆是。</v>
      </c>
      <c r="H537" s="4" t="str">
        <f>dB題庫!G84</f>
        <v>B.</v>
      </c>
      <c r="I537" s="4" t="str">
        <f>dB題庫!H84</f>
        <v>機翼的切面形狀（翼型）和幾何形狀（如展弦比、後掠角）直接決定了氣流通過時產生的壓力差（白努利定律與牛頓第三運動定律作用）。好的機翼形狀能在產生足夠升力的同時，儘可能降低空氣阻力，因此對這兩者的影響極大。</v>
      </c>
    </row>
    <row r="538" spans="1:9" s="3" customFormat="1" ht="15">
      <c r="A538" s="2" t="s">
        <v>114</v>
      </c>
      <c r="B538" s="1"/>
      <c r="C538" s="7" t="str">
        <f>"(A.)"&amp;D537</f>
        <v>(A.)磁力。</v>
      </c>
      <c r="D538" s="2"/>
      <c r="E538" s="2"/>
      <c r="F538" s="2"/>
      <c r="G538" s="2"/>
      <c r="H538" s="2"/>
      <c r="I538" s="2"/>
    </row>
    <row r="539" spans="1:9" s="3" customFormat="1" ht="15">
      <c r="A539" s="2"/>
      <c r="B539" s="1"/>
      <c r="C539" s="7" t="str">
        <f>"(B.)"&amp;E537</f>
        <v>(B.)升力、阻力。</v>
      </c>
      <c r="D539" s="2"/>
      <c r="E539" s="2"/>
      <c r="F539" s="2"/>
      <c r="G539" s="2"/>
      <c r="H539" s="2"/>
      <c r="I539" s="2"/>
    </row>
    <row r="540" spans="1:9" s="3" customFormat="1" ht="15">
      <c r="A540" s="2"/>
      <c r="B540" s="2"/>
      <c r="C540" s="7" t="str">
        <f>"(C.)"&amp;F537</f>
        <v>(C.)重力。</v>
      </c>
      <c r="D540" s="2"/>
      <c r="E540" s="2"/>
      <c r="F540" s="2"/>
      <c r="G540" s="2"/>
      <c r="H540" s="2"/>
      <c r="I540" s="2"/>
    </row>
    <row r="541" spans="1:9" s="3" customFormat="1" ht="15">
      <c r="A541" s="2"/>
      <c r="B541" s="2"/>
      <c r="C541" s="7" t="str">
        <f>"(D.)"&amp;G537</f>
        <v>(D.)以上皆是。</v>
      </c>
      <c r="D541" s="2"/>
      <c r="E541" s="2"/>
      <c r="F541" s="2"/>
      <c r="G541" s="2"/>
      <c r="H541" s="2"/>
      <c r="I541" s="2"/>
    </row>
    <row r="542" spans="1:9" s="3" customFormat="1" ht="15">
      <c r="A542" s="2"/>
      <c r="B542" s="2"/>
      <c r="C542" s="7" t="str">
        <f>"答案是： "&amp;IF(H537="A.",C538,IF(H537="B.",C539,IF(H537="C.",C540,IF(H537=("D."),C541,"XXXX"))))</f>
        <v>答案是： (B.)升力、阻力。</v>
      </c>
      <c r="D542" s="2"/>
      <c r="E542" s="2"/>
      <c r="F542" s="2"/>
      <c r="G542" s="2"/>
      <c r="H542" s="2"/>
      <c r="I542" s="2"/>
    </row>
    <row r="543" spans="1:9" s="3" customFormat="1" ht="90">
      <c r="A543" s="2"/>
      <c r="B543" s="2"/>
      <c r="C543" s="7" t="str">
        <f>"說明："&amp;I537</f>
        <v>說明：機翼的切面形狀（翼型）和幾何形狀（如展弦比、後掠角）直接決定了氣流通過時產生的壓力差（白努利定律與牛頓第三運動定律作用）。好的機翼形狀能在產生足夠升力的同時，儘可能降低空氣阻力，因此對這兩者的影響極大。</v>
      </c>
      <c r="D543" s="2"/>
      <c r="E543" s="2"/>
      <c r="F543" s="2"/>
      <c r="G543" s="2"/>
      <c r="H543" s="2"/>
      <c r="I543" s="2"/>
    </row>
    <row r="544" spans="1:9" s="3" customFormat="1" ht="150">
      <c r="A544" s="4" t="str">
        <f>dB題庫!A85</f>
        <v>84</v>
      </c>
      <c r="B544" s="4" t="str">
        <f>dB題庫!B85</f>
        <v>下列哪個項目對升力、阻力有影響</v>
      </c>
      <c r="C544" s="4" t="str">
        <f>A544&amp;"."&amp;B544</f>
        <v>84.下列哪個項目對升力、阻力有影響</v>
      </c>
      <c r="D544" s="4" t="str">
        <f>dB題庫!C85</f>
        <v>機翼切面形狀的相對厚度、最大厚度位置。</v>
      </c>
      <c r="E544" s="4" t="str">
        <f>dB題庫!D85</f>
        <v>機翼平面形狀、襟翼和前緣翼縫的位置。</v>
      </c>
      <c r="F544" s="4" t="str">
        <f>dB題庫!E85</f>
        <v>機翼表面光滑狀況。</v>
      </c>
      <c r="G544" s="4" t="str">
        <f>dB題庫!F85</f>
        <v>以上皆是。</v>
      </c>
      <c r="H544" s="4" t="str">
        <f>dB題庫!G85</f>
        <v>D.</v>
      </c>
      <c r="I544" s="4" t="str">
        <f>dB題庫!H85</f>
        <v>原因解析🟢 (A.) 影響空氣流速與壓力差： 機翼切面的相對厚度和最大厚度位置，會直接決定空氣流經機翼上下的速度差。根據白努利定律，這會大幅改變升力大小，同時也決定了飛機的壓差阻力。🟢 (B.) 改變翼面面積與氣流結構： 機翼平面形狀（如展弦比、後掠角）影響翼尖渦流與誘導阻力。而操作襟翼（FlA.ps）和前緣翼縫（SlA.ts）則能直接增加翼型弧度與表面積，用於在低速飛行（如起降）時大幅增加升力與阻力。🟢 (C.) 決定摩擦力大小： 機翼表面的光滑狀況（粗糙度）會直接影響空氣與翼面的黏滯摩擦。表面越粗糙，邊界層越容易由層流轉變為紊流，從而顯著增加摩擦阻力。這題屬於無人機操作證學科測驗的基礎飛行原理必考題。如果您正在準備相關考試，建議多留意「影響升阻力的四大要素（攻角、飛行速度、空氣密度、航空器特點）」等延伸觀念。</v>
      </c>
    </row>
    <row r="545" spans="1:9" s="3" customFormat="1" ht="15">
      <c r="A545" s="2" t="s">
        <v>114</v>
      </c>
      <c r="B545" s="1"/>
      <c r="C545" s="7" t="str">
        <f>"(A.)"&amp;D544</f>
        <v>(A.)機翼切面形狀的相對厚度、最大厚度位置。</v>
      </c>
      <c r="D545" s="2"/>
      <c r="E545" s="2"/>
      <c r="F545" s="2"/>
      <c r="G545" s="2"/>
      <c r="H545" s="2"/>
      <c r="I545" s="2"/>
    </row>
    <row r="546" spans="1:9" s="3" customFormat="1" ht="15">
      <c r="A546" s="2"/>
      <c r="B546" s="1"/>
      <c r="C546" s="7" t="str">
        <f>"(B.)"&amp;E544</f>
        <v>(B.)機翼平面形狀、襟翼和前緣翼縫的位置。</v>
      </c>
      <c r="D546" s="2"/>
      <c r="E546" s="2"/>
      <c r="F546" s="2"/>
      <c r="G546" s="2"/>
      <c r="H546" s="2"/>
      <c r="I546" s="2"/>
    </row>
    <row r="547" spans="1:9" s="3" customFormat="1" ht="15">
      <c r="A547" s="2"/>
      <c r="B547" s="2"/>
      <c r="C547" s="7" t="str">
        <f>"(C.)"&amp;F544</f>
        <v>(C.)機翼表面光滑狀況。</v>
      </c>
      <c r="D547" s="2"/>
      <c r="E547" s="2"/>
      <c r="F547" s="2"/>
      <c r="G547" s="2"/>
      <c r="H547" s="2"/>
      <c r="I547" s="2"/>
    </row>
    <row r="548" spans="1:9" s="3" customFormat="1" ht="15">
      <c r="A548" s="2"/>
      <c r="B548" s="2"/>
      <c r="C548" s="7" t="str">
        <f>"(D.)"&amp;G544</f>
        <v>(D.)以上皆是。</v>
      </c>
      <c r="D548" s="2"/>
      <c r="E548" s="2"/>
      <c r="F548" s="2"/>
      <c r="G548" s="2"/>
      <c r="H548" s="2"/>
      <c r="I548" s="2"/>
    </row>
    <row r="549" spans="1:9" s="3" customFormat="1" ht="15">
      <c r="A549" s="2"/>
      <c r="B549" s="2"/>
      <c r="C549" s="7" t="str">
        <f>"答案是： "&amp;IF(H544="A.",C545,IF(H544="B.",C546,IF(H544="C.",C547,IF(H544=("D."),C548,"XXXX"))))</f>
        <v>答案是： (D.)以上皆是。</v>
      </c>
      <c r="D549" s="2"/>
      <c r="E549" s="2"/>
      <c r="F549" s="2"/>
      <c r="G549" s="2"/>
      <c r="H549" s="2"/>
      <c r="I549" s="2"/>
    </row>
    <row r="550" spans="1:9" s="3" customFormat="1" ht="255">
      <c r="A550" s="2"/>
      <c r="B550" s="2"/>
      <c r="C550" s="7" t="str">
        <f>"說明："&amp;I544</f>
        <v>說明：原因解析🟢 (A.) 影響空氣流速與壓力差： 機翼切面的相對厚度和最大厚度位置，會直接決定空氣流經機翼上下的速度差。根據白努利定律，這會大幅改變升力大小，同時也決定了飛機的壓差阻力。🟢 (B.) 改變翼面面積與氣流結構： 機翼平面形狀（如展弦比、後掠角）影響翼尖渦流與誘導阻力。而操作襟翼（FlA.ps）和前緣翼縫（SlA.ts）則能直接增加翼型弧度與表面積，用於在低速飛行（如起降）時大幅增加升力與阻力。🟢 (C.) 決定摩擦力大小： 機翼表面的光滑狀況（粗糙度）會直接影響空氣與翼面的黏滯摩擦。表面越粗糙，邊界層越容易由層流轉變為紊流，從而顯著增加摩擦阻力。這題屬於無人機操作證學科測驗的基礎飛行原理必考題。如果您正在準備相關考試，建議多留意「影響升阻力的四大要素（攻角、飛行速度、空氣密度、航空器特點）」等延伸觀念。</v>
      </c>
      <c r="D550" s="2"/>
      <c r="E550" s="2"/>
      <c r="F550" s="2"/>
      <c r="G550" s="2"/>
      <c r="H550" s="2"/>
      <c r="I550" s="2"/>
    </row>
    <row r="551" spans="1:9" s="3" customFormat="1" ht="60">
      <c r="A551" s="4" t="str">
        <f>dB題庫!A86</f>
        <v>85</v>
      </c>
      <c r="B551" s="4" t="str">
        <f>dB題庫!B86</f>
        <v>遙控無人機表面光滑狀況會影響下列哪種阻力</v>
      </c>
      <c r="C551" s="4" t="str">
        <f>A551&amp;"."&amp;B551</f>
        <v>85.遙控無人機表面光滑狀況會影響下列哪種阻力</v>
      </c>
      <c r="D551" s="4" t="str">
        <f>dB題庫!C86</f>
        <v>形狀阻力。</v>
      </c>
      <c r="E551" s="4" t="str">
        <f>dB題庫!D86</f>
        <v>誘導阻力。</v>
      </c>
      <c r="F551" s="4" t="str">
        <f>dB題庫!E86</f>
        <v>摩擦阻力。</v>
      </c>
      <c r="G551" s="4" t="str">
        <f>dB題庫!F86</f>
        <v>干擾阻力。</v>
      </c>
      <c r="H551" s="4" t="str">
        <f>dB題庫!G86</f>
        <v>C.</v>
      </c>
      <c r="I551" s="4" t="str">
        <f>dB題庫!H86</f>
        <v>遙控無人機的表面光滑狀況主要會影響摩擦阻力。無人機在空氣中飛行時，機體表面的粗糙度會直接影響空氣分子與機身表面產生的摩擦力大小。表面越光滑，摩擦阻力就越小，飛行效率也越高；反之，若表面粗糙，則會增加摩擦阻力，消耗更多動力。這屬於寄生阻力的一種。</v>
      </c>
    </row>
    <row r="552" spans="1:9" s="3" customFormat="1" ht="15">
      <c r="A552" s="2" t="s">
        <v>114</v>
      </c>
      <c r="B552" s="1"/>
      <c r="C552" s="7" t="str">
        <f>"(A.)"&amp;D551</f>
        <v>(A.)形狀阻力。</v>
      </c>
      <c r="D552" s="2"/>
      <c r="E552" s="2"/>
      <c r="F552" s="2"/>
      <c r="G552" s="2"/>
      <c r="H552" s="2"/>
      <c r="I552" s="2"/>
    </row>
    <row r="553" spans="1:9" s="3" customFormat="1" ht="15">
      <c r="A553" s="2"/>
      <c r="B553" s="1"/>
      <c r="C553" s="7" t="str">
        <f>"(B.)"&amp;E551</f>
        <v>(B.)誘導阻力。</v>
      </c>
      <c r="D553" s="2"/>
      <c r="E553" s="2"/>
      <c r="F553" s="2"/>
      <c r="G553" s="2"/>
      <c r="H553" s="2"/>
      <c r="I553" s="2"/>
    </row>
    <row r="554" spans="1:9" s="3" customFormat="1" ht="15">
      <c r="A554" s="2"/>
      <c r="B554" s="2"/>
      <c r="C554" s="7" t="str">
        <f>"(C.)"&amp;F551</f>
        <v>(C.)摩擦阻力。</v>
      </c>
      <c r="D554" s="2"/>
      <c r="E554" s="2"/>
      <c r="F554" s="2"/>
      <c r="G554" s="2"/>
      <c r="H554" s="2"/>
      <c r="I554" s="2"/>
    </row>
    <row r="555" spans="1:9" s="3" customFormat="1" ht="15">
      <c r="A555" s="2"/>
      <c r="B555" s="2"/>
      <c r="C555" s="7" t="str">
        <f>"(D.)"&amp;G551</f>
        <v>(D.)干擾阻力。</v>
      </c>
      <c r="D555" s="2"/>
      <c r="E555" s="2"/>
      <c r="F555" s="2"/>
      <c r="G555" s="2"/>
      <c r="H555" s="2"/>
      <c r="I555" s="2"/>
    </row>
    <row r="556" spans="1:9" s="3" customFormat="1" ht="15">
      <c r="A556" s="2"/>
      <c r="B556" s="2"/>
      <c r="C556" s="7" t="str">
        <f>"答案是： "&amp;IF(H551="A.",C552,IF(H551="B.",C553,IF(H551="C.",C554,IF(H551=("D."),C555,"XXXX"))))</f>
        <v>答案是： (C.)摩擦阻力。</v>
      </c>
      <c r="D556" s="2"/>
      <c r="E556" s="2"/>
      <c r="F556" s="2"/>
      <c r="G556" s="2"/>
      <c r="H556" s="2"/>
      <c r="I556" s="2"/>
    </row>
    <row r="557" spans="1:9" s="3" customFormat="1" ht="90">
      <c r="A557" s="2"/>
      <c r="B557" s="2"/>
      <c r="C557" s="7" t="str">
        <f>"說明："&amp;I551</f>
        <v>說明：遙控無人機的表面光滑狀況主要會影響摩擦阻力。無人機在空氣中飛行時，機體表面的粗糙度會直接影響空氣分子與機身表面產生的摩擦力大小。表面越光滑，摩擦阻力就越小，飛行效率也越高；反之，若表面粗糙，則會增加摩擦阻力，消耗更多動力。這屬於寄生阻力的一種。</v>
      </c>
      <c r="D557" s="2"/>
      <c r="E557" s="2"/>
      <c r="F557" s="2"/>
      <c r="G557" s="2"/>
      <c r="H557" s="2"/>
      <c r="I557" s="2"/>
    </row>
    <row r="558" spans="1:9" s="3" customFormat="1" ht="30">
      <c r="A558" s="4" t="str">
        <f>dB題庫!A87</f>
        <v>86</v>
      </c>
      <c r="B558" s="4" t="str">
        <f>dB題庫!B87</f>
        <v>遙控無人機表面相對光滑,則阻力為下列哪種變化</v>
      </c>
      <c r="C558" s="4" t="str">
        <f>A558&amp;"."&amp;B558</f>
        <v>86.遙控無人機表面相對光滑,則阻力為下列哪種變化</v>
      </c>
      <c r="D558" s="4" t="str">
        <f>dB題庫!C87</f>
        <v>相對較小。</v>
      </c>
      <c r="E558" s="4" t="str">
        <f>dB題庫!D87</f>
        <v>相對較大。</v>
      </c>
      <c r="F558" s="4" t="str">
        <f>dB題庫!E87</f>
        <v>時大時小。</v>
      </c>
      <c r="G558" s="4" t="str">
        <f>dB題庫!F87</f>
        <v>以上皆非。</v>
      </c>
      <c r="H558" s="4" t="str">
        <f>dB題庫!G87</f>
        <v>A.</v>
      </c>
      <c r="I558" s="4" t="str">
        <f>dB題庫!H87</f>
        <v>當遙控無人機表面相對光滑時，空氣流經機體時所受到的黏滯阻力較小，因此其摩擦阻力會呈現相對較小的變化。這屬於基礎飛行原理中的寄生阻力之一。</v>
      </c>
    </row>
    <row r="559" spans="1:9" s="3" customFormat="1" ht="15">
      <c r="A559" s="2" t="s">
        <v>114</v>
      </c>
      <c r="B559" s="1"/>
      <c r="C559" s="7" t="str">
        <f>"(A.)"&amp;D558</f>
        <v>(A.)相對較小。</v>
      </c>
      <c r="D559" s="2"/>
      <c r="E559" s="2"/>
      <c r="F559" s="2"/>
      <c r="G559" s="2"/>
      <c r="H559" s="2"/>
      <c r="I559" s="2"/>
    </row>
    <row r="560" spans="1:9" s="3" customFormat="1" ht="15">
      <c r="A560" s="2"/>
      <c r="B560" s="1"/>
      <c r="C560" s="7" t="str">
        <f>"(B.)"&amp;E558</f>
        <v>(B.)相對較大。</v>
      </c>
      <c r="D560" s="2"/>
      <c r="E560" s="2"/>
      <c r="F560" s="2"/>
      <c r="G560" s="2"/>
      <c r="H560" s="2"/>
      <c r="I560" s="2"/>
    </row>
    <row r="561" spans="1:9" s="3" customFormat="1" ht="15">
      <c r="A561" s="2"/>
      <c r="B561" s="2"/>
      <c r="C561" s="7" t="str">
        <f>"(C.)"&amp;F558</f>
        <v>(C.)時大時小。</v>
      </c>
      <c r="D561" s="2"/>
      <c r="E561" s="2"/>
      <c r="F561" s="2"/>
      <c r="G561" s="2"/>
      <c r="H561" s="2"/>
      <c r="I561" s="2"/>
    </row>
    <row r="562" spans="1:9" s="3" customFormat="1" ht="15">
      <c r="A562" s="2"/>
      <c r="B562" s="2"/>
      <c r="C562" s="7" t="str">
        <f>"(D.)"&amp;G558</f>
        <v>(D.)以上皆非。</v>
      </c>
      <c r="D562" s="2"/>
      <c r="E562" s="2"/>
      <c r="F562" s="2"/>
      <c r="G562" s="2"/>
      <c r="H562" s="2"/>
      <c r="I562" s="2"/>
    </row>
    <row r="563" spans="1:9" s="3" customFormat="1" ht="15">
      <c r="A563" s="2"/>
      <c r="B563" s="2"/>
      <c r="C563" s="7" t="str">
        <f>"答案是： "&amp;IF(H558="A.",C559,IF(H558="B.",C560,IF(H558="C.",C561,IF(H558=("D."),C562,"XXXX"))))</f>
        <v>答案是： (A.)相對較小。</v>
      </c>
      <c r="D563" s="2"/>
      <c r="E563" s="2"/>
      <c r="F563" s="2"/>
      <c r="G563" s="2"/>
      <c r="H563" s="2"/>
      <c r="I563" s="2"/>
    </row>
    <row r="564" spans="1:9" s="3" customFormat="1" ht="60">
      <c r="A564" s="2"/>
      <c r="B564" s="2"/>
      <c r="C564" s="7" t="str">
        <f>"說明："&amp;I558</f>
        <v>說明：當遙控無人機表面相對光滑時，空氣流經機體時所受到的黏滯阻力較小，因此其摩擦阻力會呈現相對較小的變化。這屬於基礎飛行原理中的寄生阻力之一。</v>
      </c>
      <c r="D564" s="2"/>
      <c r="E564" s="2"/>
      <c r="F564" s="2"/>
      <c r="G564" s="2"/>
      <c r="H564" s="2"/>
      <c r="I564" s="2"/>
    </row>
    <row r="565" spans="1:9" s="3" customFormat="1" ht="135">
      <c r="A565" s="4" t="str">
        <f>dB題庫!A88</f>
        <v>87</v>
      </c>
      <c r="B565" s="4" t="str">
        <f>dB題庫!B88</f>
        <v>大多數遙控無人機都由下列哪個主要部分組成</v>
      </c>
      <c r="C565" s="4" t="str">
        <f>A565&amp;"."&amp;B565</f>
        <v>87.大多數遙控無人機都由下列哪個主要部分組成</v>
      </c>
      <c r="D565" s="4" t="str">
        <f>dB題庫!C88</f>
        <v>機翼、機身、尾翼。</v>
      </c>
      <c r="E565" s="4" t="str">
        <f>dB題庫!D88</f>
        <v>起降裝置。</v>
      </c>
      <c r="F565" s="4" t="str">
        <f>dB題庫!E88</f>
        <v>動力系統。</v>
      </c>
      <c r="G565" s="4" t="str">
        <f>dB題庫!F88</f>
        <v>以上皆是。</v>
      </c>
      <c r="H565" s="4" t="str">
        <f>dB題庫!G88</f>
        <v>D.</v>
      </c>
      <c r="I565" s="4" t="str">
        <f>dB題庫!H88</f>
        <v>除了混合型無人機外，大多數遙控無人機（定翼機型與通用結構）主要是由下列 5 個主要部分所組成：🟢 (A.) 機翼、機身、尾翼：機翼：提供飛行時所需的升力，以維持無人機在空中的高度。機身：用來裝載飛控系統、電池、酬載（如相機）並連結其他部件的核心骨架。尾翼：提供俯仰和偏航的穩定性，並協助控制飛行方向。🟢 (B.) 起降裝置：包含起落架或起降結構，用於保護無人機在地面停放、起飛及著陸時的穩定與安全。🟢 (C.) 動力系統：包含馬達、電子調速器（電調）、螺旋槳以及電池，負責提供無人機前進與升空所需的推力。由於選項 (A.)、(B.)、(C.) 皆屬於大多數遙控無人機不可或缺的核心組成部分，因此本題必須選擇 (D.) 以上皆是。</v>
      </c>
    </row>
    <row r="566" spans="1:9" s="3" customFormat="1" ht="15">
      <c r="A566" s="2" t="s">
        <v>114</v>
      </c>
      <c r="B566" s="1"/>
      <c r="C566" s="7" t="str">
        <f>"(A.)"&amp;D565</f>
        <v>(A.)機翼、機身、尾翼。</v>
      </c>
      <c r="D566" s="2"/>
      <c r="E566" s="2"/>
      <c r="F566" s="2"/>
      <c r="G566" s="2"/>
      <c r="H566" s="2"/>
      <c r="I566" s="2"/>
    </row>
    <row r="567" spans="1:9" s="3" customFormat="1" ht="15">
      <c r="A567" s="2"/>
      <c r="B567" s="1"/>
      <c r="C567" s="7" t="str">
        <f>"(B.)"&amp;E565</f>
        <v>(B.)起降裝置。</v>
      </c>
      <c r="D567" s="2"/>
      <c r="E567" s="2"/>
      <c r="F567" s="2"/>
      <c r="G567" s="2"/>
      <c r="H567" s="2"/>
      <c r="I567" s="2"/>
    </row>
    <row r="568" spans="1:9" s="3" customFormat="1" ht="15">
      <c r="A568" s="2"/>
      <c r="B568" s="2"/>
      <c r="C568" s="7" t="str">
        <f>"(C.)"&amp;F565</f>
        <v>(C.)動力系統。</v>
      </c>
      <c r="D568" s="2"/>
      <c r="E568" s="2"/>
      <c r="F568" s="2"/>
      <c r="G568" s="2"/>
      <c r="H568" s="2"/>
      <c r="I568" s="2"/>
    </row>
    <row r="569" spans="1:9" s="3" customFormat="1" ht="15">
      <c r="A569" s="2"/>
      <c r="B569" s="2"/>
      <c r="C569" s="7" t="str">
        <f>"(D.)"&amp;G565</f>
        <v>(D.)以上皆是。</v>
      </c>
      <c r="D569" s="2"/>
      <c r="E569" s="2"/>
      <c r="F569" s="2"/>
      <c r="G569" s="2"/>
      <c r="H569" s="2"/>
      <c r="I569" s="2"/>
    </row>
    <row r="570" spans="1:9" s="3" customFormat="1" ht="15">
      <c r="A570" s="2"/>
      <c r="B570" s="2"/>
      <c r="C570" s="7" t="str">
        <f>"答案是： "&amp;IF(H565="A.",C566,IF(H565="B.",C567,IF(H565="C.",C568,IF(H565=("D."),C569,"XXXX"))))</f>
        <v>答案是： (D.)以上皆是。</v>
      </c>
      <c r="D570" s="2"/>
      <c r="E570" s="2"/>
      <c r="F570" s="2"/>
      <c r="G570" s="2"/>
      <c r="H570" s="2"/>
      <c r="I570" s="2"/>
    </row>
    <row r="571" spans="1:9" s="3" customFormat="1" ht="225">
      <c r="A571" s="2"/>
      <c r="B571" s="2"/>
      <c r="C571" s="7" t="str">
        <f>"說明："&amp;I565</f>
        <v>說明：除了混合型無人機外，大多數遙控無人機（定翼機型與通用結構）主要是由下列 5 個主要部分所組成：🟢 (A.) 機翼、機身、尾翼：機翼：提供飛行時所需的升力，以維持無人機在空中的高度。機身：用來裝載飛控系統、電池、酬載（如相機）並連結其他部件的核心骨架。尾翼：提供俯仰和偏航的穩定性，並協助控制飛行方向。🟢 (B.) 起降裝置：包含起落架或起降結構，用於保護無人機在地面停放、起飛及著陸時的穩定與安全。🟢 (C.) 動力系統：包含馬達、電子調速器（電調）、螺旋槳以及電池，負責提供無人機前進與升空所需的推力。由於選項 (A.)、(B.)、(C.) 皆屬於大多數遙控無人機不可或缺的核心組成部分，因此本題必須選擇 (D.) 以上皆是。</v>
      </c>
      <c r="D571" s="2"/>
      <c r="E571" s="2"/>
      <c r="F571" s="2"/>
      <c r="G571" s="2"/>
      <c r="H571" s="2"/>
      <c r="I571" s="2"/>
    </row>
    <row r="572" spans="1:9" s="3" customFormat="1" ht="30">
      <c r="A572" s="4" t="str">
        <f>dB題庫!A89</f>
        <v>88</v>
      </c>
      <c r="B572" s="4" t="str">
        <f>dB題庫!B89</f>
        <v>無人飛機機翼的主要功用是產生下列哪種外力</v>
      </c>
      <c r="C572" s="4" t="str">
        <f>A572&amp;"."&amp;B572</f>
        <v>88.無人飛機機翼的主要功用是產生下列哪種外力</v>
      </c>
      <c r="D572" s="4" t="str">
        <f>dB題庫!C89</f>
        <v>阻力。</v>
      </c>
      <c r="E572" s="4" t="str">
        <f>dB題庫!D89</f>
        <v>升力。</v>
      </c>
      <c r="F572" s="4" t="str">
        <f>dB題庫!E89</f>
        <v>推力。</v>
      </c>
      <c r="G572" s="4" t="str">
        <f>dB題庫!F89</f>
        <v>重力。</v>
      </c>
      <c r="H572" s="4" t="str">
        <f>dB題庫!G89</f>
        <v>B.</v>
      </c>
      <c r="I572" s="4" t="str">
        <f>dB題庫!H89</f>
        <v>無人飛機機翼的主要功用是產生升力，以克服飛機自身的重力，並維持機體在空中的飛行狀態與穩定性。</v>
      </c>
    </row>
    <row r="573" spans="1:9" s="3" customFormat="1" ht="15">
      <c r="A573" s="2" t="s">
        <v>114</v>
      </c>
      <c r="B573" s="1"/>
      <c r="C573" s="7" t="str">
        <f>"(A.)"&amp;D572</f>
        <v>(A.)阻力。</v>
      </c>
      <c r="D573" s="2"/>
      <c r="E573" s="2"/>
      <c r="F573" s="2"/>
      <c r="G573" s="2"/>
      <c r="H573" s="2"/>
      <c r="I573" s="2"/>
    </row>
    <row r="574" spans="1:9" s="3" customFormat="1" ht="15">
      <c r="A574" s="2"/>
      <c r="B574" s="1"/>
      <c r="C574" s="7" t="str">
        <f>"(B.)"&amp;E572</f>
        <v>(B.)升力。</v>
      </c>
      <c r="D574" s="2"/>
      <c r="E574" s="2"/>
      <c r="F574" s="2"/>
      <c r="G574" s="2"/>
      <c r="H574" s="2"/>
      <c r="I574" s="2"/>
    </row>
    <row r="575" spans="1:9" s="3" customFormat="1" ht="15">
      <c r="A575" s="2"/>
      <c r="B575" s="2"/>
      <c r="C575" s="7" t="str">
        <f>"(C.)"&amp;F572</f>
        <v>(C.)推力。</v>
      </c>
      <c r="D575" s="2"/>
      <c r="E575" s="2"/>
      <c r="F575" s="2"/>
      <c r="G575" s="2"/>
      <c r="H575" s="2"/>
      <c r="I575" s="2"/>
    </row>
    <row r="576" spans="1:9" s="3" customFormat="1" ht="15">
      <c r="A576" s="2"/>
      <c r="B576" s="2"/>
      <c r="C576" s="7" t="str">
        <f>"(D.)"&amp;G572</f>
        <v>(D.)重力。</v>
      </c>
      <c r="D576" s="2"/>
      <c r="E576" s="2"/>
      <c r="F576" s="2"/>
      <c r="G576" s="2"/>
      <c r="H576" s="2"/>
      <c r="I576" s="2"/>
    </row>
    <row r="577" spans="1:9" s="3" customFormat="1" ht="15">
      <c r="A577" s="2"/>
      <c r="B577" s="2"/>
      <c r="C577" s="7" t="str">
        <f>"答案是： "&amp;IF(H572="A.",C573,IF(H572="B.",C574,IF(H572="C.",C575,IF(H572=("D."),C576,"XXXX"))))</f>
        <v>答案是： (B.)升力。</v>
      </c>
      <c r="D577" s="2"/>
      <c r="E577" s="2"/>
      <c r="F577" s="2"/>
      <c r="G577" s="2"/>
      <c r="H577" s="2"/>
      <c r="I577" s="2"/>
    </row>
    <row r="578" spans="1:9" s="3" customFormat="1" ht="45">
      <c r="A578" s="2"/>
      <c r="B578" s="2"/>
      <c r="C578" s="7" t="str">
        <f>"說明："&amp;I572</f>
        <v>說明：無人飛機機翼的主要功用是產生升力，以克服飛機自身的重力，並維持機體在空中的飛行狀態與穩定性。</v>
      </c>
      <c r="D578" s="2"/>
      <c r="E578" s="2"/>
      <c r="F578" s="2"/>
      <c r="G578" s="2"/>
      <c r="H578" s="2"/>
      <c r="I578" s="2"/>
    </row>
    <row r="579" spans="1:9" s="3" customFormat="1" ht="30">
      <c r="A579" s="4" t="str">
        <f>dB題庫!A90</f>
        <v>89</v>
      </c>
      <c r="B579" s="4" t="str">
        <f>dB題庫!B90</f>
        <v>無人飛機機翼除提供升力外,也有下列哪些作用</v>
      </c>
      <c r="C579" s="4" t="str">
        <f>A579&amp;"."&amp;B579</f>
        <v>89.無人飛機機翼除提供升力外,也有下列哪些作用</v>
      </c>
      <c r="D579" s="4" t="str">
        <f>dB題庫!C90</f>
        <v>美觀和舒適。</v>
      </c>
      <c r="E579" s="4" t="str">
        <f>dB題庫!D90</f>
        <v>潤滑和保濕。</v>
      </c>
      <c r="F579" s="4" t="str">
        <f>dB題庫!E90</f>
        <v>穩定和操作。</v>
      </c>
      <c r="G579" s="4" t="str">
        <f>dB題庫!F90</f>
        <v>觀測和定位。</v>
      </c>
      <c r="H579" s="4" t="str">
        <f>dB題庫!G90</f>
        <v>C.</v>
      </c>
      <c r="I579" s="4" t="str">
        <f>dB題庫!H90</f>
        <v>機翼的主要功能與相關特點如下：機翼的主要作用提供升力：維持無人機在空中飛行。穩定和操作：維持空中穩定並提供操控功能。</v>
      </c>
    </row>
    <row r="580" spans="1:9" s="3" customFormat="1" ht="15">
      <c r="A580" s="2" t="s">
        <v>114</v>
      </c>
      <c r="B580" s="1"/>
      <c r="C580" s="7" t="str">
        <f>"(A.)"&amp;D579</f>
        <v>(A.)美觀和舒適。</v>
      </c>
      <c r="D580" s="2"/>
      <c r="E580" s="2"/>
      <c r="F580" s="2"/>
      <c r="G580" s="2"/>
      <c r="H580" s="2"/>
      <c r="I580" s="2"/>
    </row>
    <row r="581" spans="1:9" s="3" customFormat="1" ht="15">
      <c r="A581" s="2"/>
      <c r="B581" s="1"/>
      <c r="C581" s="7" t="str">
        <f>"(B.)"&amp;E579</f>
        <v>(B.)潤滑和保濕。</v>
      </c>
      <c r="D581" s="2"/>
      <c r="E581" s="2"/>
      <c r="F581" s="2"/>
      <c r="G581" s="2"/>
      <c r="H581" s="2"/>
      <c r="I581" s="2"/>
    </row>
    <row r="582" spans="1:9" s="3" customFormat="1" ht="15">
      <c r="A582" s="2"/>
      <c r="B582" s="2"/>
      <c r="C582" s="7" t="str">
        <f>"(C.)"&amp;F579</f>
        <v>(C.)穩定和操作。</v>
      </c>
      <c r="D582" s="2"/>
      <c r="E582" s="2"/>
      <c r="F582" s="2"/>
      <c r="G582" s="2"/>
      <c r="H582" s="2"/>
      <c r="I582" s="2"/>
    </row>
    <row r="583" spans="1:9" s="3" customFormat="1" ht="15">
      <c r="A583" s="2"/>
      <c r="B583" s="2"/>
      <c r="C583" s="7" t="str">
        <f>"(D.)"&amp;G579</f>
        <v>(D.)觀測和定位。</v>
      </c>
      <c r="D583" s="2"/>
      <c r="E583" s="2"/>
      <c r="F583" s="2"/>
      <c r="G583" s="2"/>
      <c r="H583" s="2"/>
      <c r="I583" s="2"/>
    </row>
    <row r="584" spans="1:9" s="3" customFormat="1" ht="15">
      <c r="A584" s="2"/>
      <c r="B584" s="2"/>
      <c r="C584" s="7" t="str">
        <f>"答案是： "&amp;IF(H579="A.",C580,IF(H579="B.",C581,IF(H579="C.",C582,IF(H579=("D."),C583,"XXXX"))))</f>
        <v>答案是： (C.)穩定和操作。</v>
      </c>
      <c r="D584" s="2"/>
      <c r="E584" s="2"/>
      <c r="F584" s="2"/>
      <c r="G584" s="2"/>
      <c r="H584" s="2"/>
      <c r="I584" s="2"/>
    </row>
    <row r="585" spans="1:9" s="3" customFormat="1" ht="45">
      <c r="A585" s="2"/>
      <c r="B585" s="2"/>
      <c r="C585" s="7" t="str">
        <f>"說明："&amp;I579</f>
        <v>說明：機翼的主要功能與相關特點如下：機翼的主要作用提供升力：維持無人機在空中飛行。穩定和操作：維持空中穩定並提供操控功能。</v>
      </c>
      <c r="D585" s="2"/>
      <c r="E585" s="2"/>
      <c r="F585" s="2"/>
      <c r="G585" s="2"/>
      <c r="H585" s="2"/>
      <c r="I585" s="2"/>
    </row>
    <row r="586" spans="1:9" s="3" customFormat="1" ht="45">
      <c r="A586" s="4" t="str">
        <f>dB題庫!A91</f>
        <v>90</v>
      </c>
      <c r="B586" s="4" t="str">
        <f>dB題庫!B91</f>
        <v>在無人飛機機翼上一般安裝下列哪個物件</v>
      </c>
      <c r="C586" s="4" t="str">
        <f>A586&amp;"."&amp;B586</f>
        <v>90.在無人飛機機翼上一般安裝下列哪個物件</v>
      </c>
      <c r="D586" s="4" t="str">
        <f>dB題庫!C91</f>
        <v>光學酬載。</v>
      </c>
      <c r="E586" s="4" t="str">
        <f>dB題庫!D91</f>
        <v>副翼和襟翼。</v>
      </c>
      <c r="F586" s="4" t="str">
        <f>dB題庫!E91</f>
        <v>通訊設備。</v>
      </c>
      <c r="G586" s="4" t="str">
        <f>dB題庫!F91</f>
        <v>導航設備。</v>
      </c>
      <c r="H586" s="4" t="str">
        <f>dB題庫!G91</f>
        <v>B.</v>
      </c>
      <c r="I586" s="4" t="str">
        <f>dB題庫!H91</f>
        <v>在無人飛機的機翼上，一般會安裝副翼和襟翼。副翼用來控制飛機的滾轉姿態，而襟翼則可用來增加飛機的升力。此外，依據飛行任務與設計需求，機翼上也可能安裝發動機、起落架或各種外掛載。</v>
      </c>
    </row>
    <row r="587" spans="1:9" s="3" customFormat="1" ht="15">
      <c r="A587" s="2" t="s">
        <v>114</v>
      </c>
      <c r="B587" s="1"/>
      <c r="C587" s="7" t="str">
        <f>"(A.)"&amp;D586</f>
        <v>(A.)光學酬載。</v>
      </c>
      <c r="D587" s="2"/>
      <c r="E587" s="2"/>
      <c r="F587" s="2"/>
      <c r="G587" s="2"/>
      <c r="H587" s="2"/>
      <c r="I587" s="2"/>
    </row>
    <row r="588" spans="1:9" s="3" customFormat="1" ht="15">
      <c r="A588" s="2"/>
      <c r="B588" s="1"/>
      <c r="C588" s="7" t="str">
        <f>"(B.)"&amp;E586</f>
        <v>(B.)副翼和襟翼。</v>
      </c>
      <c r="D588" s="2"/>
      <c r="E588" s="2"/>
      <c r="F588" s="2"/>
      <c r="G588" s="2"/>
      <c r="H588" s="2"/>
      <c r="I588" s="2"/>
    </row>
    <row r="589" spans="1:9" s="3" customFormat="1" ht="15">
      <c r="A589" s="2"/>
      <c r="B589" s="2"/>
      <c r="C589" s="7" t="str">
        <f>"(C.)"&amp;F586</f>
        <v>(C.)通訊設備。</v>
      </c>
      <c r="D589" s="2"/>
      <c r="E589" s="2"/>
      <c r="F589" s="2"/>
      <c r="G589" s="2"/>
      <c r="H589" s="2"/>
      <c r="I589" s="2"/>
    </row>
    <row r="590" spans="1:9" s="3" customFormat="1" ht="15">
      <c r="A590" s="2"/>
      <c r="B590" s="2"/>
      <c r="C590" s="7" t="str">
        <f>"(D.)"&amp;G586</f>
        <v>(D.)導航設備。</v>
      </c>
      <c r="D590" s="2"/>
      <c r="E590" s="2"/>
      <c r="F590" s="2"/>
      <c r="G590" s="2"/>
      <c r="H590" s="2"/>
      <c r="I590" s="2"/>
    </row>
    <row r="591" spans="1:9" s="3" customFormat="1" ht="15">
      <c r="A591" s="2"/>
      <c r="B591" s="2"/>
      <c r="C591" s="7" t="str">
        <f>"答案是： "&amp;IF(H586="A.",C587,IF(H586="B.",C588,IF(H586="C.",C589,IF(H586=("D."),C590,"XXXX"))))</f>
        <v>答案是： (B.)副翼和襟翼。</v>
      </c>
      <c r="D591" s="2"/>
      <c r="E591" s="2"/>
      <c r="F591" s="2"/>
      <c r="G591" s="2"/>
      <c r="H591" s="2"/>
      <c r="I591" s="2"/>
    </row>
    <row r="592" spans="1:9" s="3" customFormat="1" ht="75">
      <c r="A592" s="2"/>
      <c r="B592" s="2"/>
      <c r="C592" s="7" t="str">
        <f>"說明："&amp;I586</f>
        <v>說明：在無人飛機的機翼上，一般會安裝副翼和襟翼。副翼用來控制飛機的滾轉姿態，而襟翼則可用來增加飛機的升力。此外，依據飛行任務與設計需求，機翼上也可能安裝發動機、起落架或各種外掛載。</v>
      </c>
      <c r="D592" s="2"/>
      <c r="E592" s="2"/>
      <c r="F592" s="2"/>
      <c r="G592" s="2"/>
      <c r="H592" s="2"/>
      <c r="I592" s="2"/>
    </row>
    <row r="593" spans="1:9" s="3" customFormat="1" ht="30">
      <c r="A593" s="4" t="str">
        <f>dB題庫!A92</f>
        <v>91</v>
      </c>
      <c r="B593" s="4" t="str">
        <f>dB題庫!B92</f>
        <v>操縱無人飛機副翼可使飛機產生下列哪種結果</v>
      </c>
      <c r="C593" s="4" t="str">
        <f>A593&amp;"."&amp;B593</f>
        <v>91.操縱無人飛機副翼可使飛機產生下列哪種結果</v>
      </c>
      <c r="D593" s="4" t="str">
        <f>dB題庫!C92</f>
        <v>滾轉。</v>
      </c>
      <c r="E593" s="4" t="str">
        <f>dB題庫!D92</f>
        <v>爬升。</v>
      </c>
      <c r="F593" s="4" t="str">
        <f>dB題庫!E92</f>
        <v>下降。</v>
      </c>
      <c r="G593" s="4" t="str">
        <f>dB題庫!F92</f>
        <v>偏航。</v>
      </c>
      <c r="H593" s="4" t="str">
        <f>dB題庫!G92</f>
        <v>A.</v>
      </c>
      <c r="I593" s="4" t="str">
        <f>dB題庫!H92</f>
        <v>操縱副翼(Ailerons)可以改變左右機翼的升力差，進而使無人機圍繞縱軸(X軸)產生滾轉(Roll)動作。</v>
      </c>
    </row>
    <row r="594" spans="1:9" s="3" customFormat="1" ht="15">
      <c r="A594" s="2" t="s">
        <v>114</v>
      </c>
      <c r="B594" s="1"/>
      <c r="C594" s="7" t="str">
        <f>"(A.)"&amp;D593</f>
        <v>(A.)滾轉。</v>
      </c>
      <c r="D594" s="2"/>
      <c r="E594" s="2"/>
      <c r="F594" s="2"/>
      <c r="G594" s="2"/>
      <c r="H594" s="2"/>
      <c r="I594" s="2"/>
    </row>
    <row r="595" spans="1:9" s="3" customFormat="1" ht="15">
      <c r="A595" s="2"/>
      <c r="B595" s="1"/>
      <c r="C595" s="7" t="str">
        <f>"(B.)"&amp;E593</f>
        <v>(B.)爬升。</v>
      </c>
      <c r="D595" s="2"/>
      <c r="E595" s="2"/>
      <c r="F595" s="2"/>
      <c r="G595" s="2"/>
      <c r="H595" s="2"/>
      <c r="I595" s="2"/>
    </row>
    <row r="596" spans="1:9" s="3" customFormat="1" ht="15">
      <c r="A596" s="2"/>
      <c r="B596" s="2"/>
      <c r="C596" s="7" t="str">
        <f>"(C.)"&amp;F593</f>
        <v>(C.)下降。</v>
      </c>
      <c r="D596" s="2"/>
      <c r="E596" s="2"/>
      <c r="F596" s="2"/>
      <c r="G596" s="2"/>
      <c r="H596" s="2"/>
      <c r="I596" s="2"/>
    </row>
    <row r="597" spans="1:9" s="3" customFormat="1" ht="15">
      <c r="A597" s="2"/>
      <c r="B597" s="2"/>
      <c r="C597" s="7" t="str">
        <f>"(D.)"&amp;G593</f>
        <v>(D.)偏航。</v>
      </c>
      <c r="D597" s="2"/>
      <c r="E597" s="2"/>
      <c r="F597" s="2"/>
      <c r="G597" s="2"/>
      <c r="H597" s="2"/>
      <c r="I597" s="2"/>
    </row>
    <row r="598" spans="1:9" s="3" customFormat="1" ht="15">
      <c r="A598" s="2"/>
      <c r="B598" s="2"/>
      <c r="C598" s="7" t="str">
        <f>"答案是： "&amp;IF(H593="A.",C594,IF(H593="B.",C595,IF(H593="C.",C596,IF(H593=("D."),C597,"XXXX"))))</f>
        <v>答案是： (A.)滾轉。</v>
      </c>
      <c r="D598" s="2"/>
      <c r="E598" s="2"/>
      <c r="F598" s="2"/>
      <c r="G598" s="2"/>
      <c r="H598" s="2"/>
      <c r="I598" s="2"/>
    </row>
    <row r="599" spans="1:9" s="3" customFormat="1" ht="45">
      <c r="A599" s="2"/>
      <c r="B599" s="2"/>
      <c r="C599" s="7" t="str">
        <f>"說明："&amp;I593</f>
        <v>說明：操縱副翼(Ailerons)可以改變左右機翼的升力差，進而使無人機圍繞縱軸(X軸)產生滾轉(Roll)動作。</v>
      </c>
      <c r="D599" s="2"/>
      <c r="E599" s="2"/>
      <c r="F599" s="2"/>
      <c r="G599" s="2"/>
      <c r="H599" s="2"/>
      <c r="I599" s="2"/>
    </row>
    <row r="600" spans="1:9" s="3" customFormat="1" ht="105">
      <c r="A600" s="4" t="str">
        <f>dB題庫!A93</f>
        <v>92</v>
      </c>
      <c r="B600" s="4" t="str">
        <f>dB題庫!B93</f>
        <v>無人飛機機翼還可安裝下列哪個物件</v>
      </c>
      <c r="C600" s="4" t="str">
        <f>A600&amp;"."&amp;B600</f>
        <v>92.無人飛機機翼還可安裝下列哪個物件</v>
      </c>
      <c r="D600" s="4" t="str">
        <f>dB題庫!C93</f>
        <v>發動機。</v>
      </c>
      <c r="E600" s="4" t="str">
        <f>dB題庫!D93</f>
        <v>起落架。</v>
      </c>
      <c r="F600" s="4" t="str">
        <f>dB題庫!E93</f>
        <v>外掛載。</v>
      </c>
      <c r="G600" s="4" t="str">
        <f>dB題庫!F93</f>
        <v>以上皆是。</v>
      </c>
      <c r="H600" s="4" t="str">
        <f>dB題庫!G93</f>
        <v>D.</v>
      </c>
      <c r="I600" s="4" t="str">
        <f>dB題庫!H93</f>
        <v>此題考查基礎空氣動力學與無人機系統設計規範。無人機之重量與重心平衡(W&amp;B.)是確保飛航安全與操作性能符合原廠諸元的核心關鍵，飛行前操作人必須精確掌握並確認其皆處於安全審慎的合理限制內。
《》無人飛機機翼除了基本的副翼和襟翼外，依設計需求還可安裝發動機、起落架、油箱或外掛載等物件。具體常見物件說明如下：發動機：提供飛行推力。起落架：用於支撐飛機起降及滑行。外掛載：如各類觀測儀器、物資投放架等。油箱：儲存飛行所需的燃料。</v>
      </c>
    </row>
    <row r="601" spans="1:9" s="3" customFormat="1" ht="15">
      <c r="A601" s="2" t="s">
        <v>114</v>
      </c>
      <c r="B601" s="1"/>
      <c r="C601" s="7" t="str">
        <f>"(A.)"&amp;D600</f>
        <v>(A.)發動機。</v>
      </c>
      <c r="D601" s="2"/>
      <c r="E601" s="2"/>
      <c r="F601" s="2"/>
      <c r="G601" s="2"/>
      <c r="H601" s="2"/>
      <c r="I601" s="2"/>
    </row>
    <row r="602" spans="1:9" s="3" customFormat="1" ht="15">
      <c r="A602" s="2"/>
      <c r="B602" s="1"/>
      <c r="C602" s="7" t="str">
        <f>"(B.)"&amp;E600</f>
        <v>(B.)起落架。</v>
      </c>
      <c r="D602" s="2"/>
      <c r="E602" s="2"/>
      <c r="F602" s="2"/>
      <c r="G602" s="2"/>
      <c r="H602" s="2"/>
      <c r="I602" s="2"/>
    </row>
    <row r="603" spans="1:9" s="3" customFormat="1" ht="15">
      <c r="A603" s="2"/>
      <c r="B603" s="2"/>
      <c r="C603" s="7" t="str">
        <f>"(C.)"&amp;F600</f>
        <v>(C.)外掛載。</v>
      </c>
      <c r="D603" s="2"/>
      <c r="E603" s="2"/>
      <c r="F603" s="2"/>
      <c r="G603" s="2"/>
      <c r="H603" s="2"/>
      <c r="I603" s="2"/>
    </row>
    <row r="604" spans="1:9" s="3" customFormat="1" ht="15">
      <c r="A604" s="2"/>
      <c r="B604" s="2"/>
      <c r="C604" s="7" t="str">
        <f>"(D.)"&amp;G600</f>
        <v>(D.)以上皆是。</v>
      </c>
      <c r="D604" s="2"/>
      <c r="E604" s="2"/>
      <c r="F604" s="2"/>
      <c r="G604" s="2"/>
      <c r="H604" s="2"/>
      <c r="I604" s="2"/>
    </row>
    <row r="605" spans="1:9" s="3" customFormat="1" ht="15">
      <c r="A605" s="2"/>
      <c r="B605" s="2"/>
      <c r="C605" s="7" t="str">
        <f>"答案是： "&amp;IF(H600="A.",C601,IF(H600="B.",C602,IF(H600="C.",C603,IF(H600=("D."),C604,"XXXX"))))</f>
        <v>答案是： (D.)以上皆是。</v>
      </c>
      <c r="D605" s="2"/>
      <c r="E605" s="2"/>
      <c r="F605" s="2"/>
      <c r="G605" s="2"/>
      <c r="H605" s="2"/>
      <c r="I605" s="2"/>
    </row>
    <row r="606" spans="1:9" s="3" customFormat="1" ht="165">
      <c r="A606" s="2"/>
      <c r="B606" s="2"/>
      <c r="C606" s="7" t="str">
        <f>"說明："&amp;I600</f>
        <v>說明：此題考查基礎空氣動力學與無人機系統設計規範。無人機之重量與重心平衡(W&amp;B.)是確保飛航安全與操作性能符合原廠諸元的核心關鍵，飛行前操作人必須精確掌握並確認其皆處於安全審慎的合理限制內。
《》無人飛機機翼除了基本的副翼和襟翼外，依設計需求還可安裝發動機、起落架、油箱或外掛載等物件。具體常見物件說明如下：發動機：提供飛行推力。起落架：用於支撐飛機起降及滑行。外掛載：如各類觀測儀器、物資投放架等。油箱：儲存飛行所需的燃料。</v>
      </c>
      <c r="D606" s="2"/>
      <c r="E606" s="2"/>
      <c r="F606" s="2"/>
      <c r="G606" s="2"/>
      <c r="H606" s="2"/>
      <c r="I606" s="2"/>
    </row>
    <row r="607" spans="1:9" s="3" customFormat="1" ht="105">
      <c r="A607" s="4" t="str">
        <f>dB題庫!A94</f>
        <v>93</v>
      </c>
      <c r="B607" s="4" t="str">
        <f>dB題庫!B94</f>
        <v>無人飛機機身的主要功用是裝載下列哪個物件</v>
      </c>
      <c r="C607" s="4" t="str">
        <f>A607&amp;"."&amp;B607</f>
        <v>93.無人飛機機身的主要功用是裝載下列哪個物件</v>
      </c>
      <c r="D607" s="4" t="str">
        <f>dB題庫!C94</f>
        <v>油箱。</v>
      </c>
      <c r="E607" s="4" t="str">
        <f>dB題庫!D94</f>
        <v>酬載。</v>
      </c>
      <c r="F607" s="4" t="str">
        <f>dB題庫!E94</f>
        <v>各種設備。</v>
      </c>
      <c r="G607" s="4" t="str">
        <f>dB題庫!F94</f>
        <v>以上皆是。</v>
      </c>
      <c r="H607" s="4" t="str">
        <f>dB題庫!G94</f>
        <v>D.</v>
      </c>
      <c r="I607" s="4" t="str">
        <f>dB題庫!H94</f>
        <v>此題考查基礎空氣動力學與無人機系統設計規範。無人機之重量與重心平衡(W&amp;B.)是確保飛航安全與操作性能符合原廠諸元的核心關鍵，飛行前操作人必須精確掌握並確認其皆處於安全審慎的合理限制內。
《》無人飛機機身的主要功用是裝載燃油、酬載及各種設備。根據遙控無人機學科測驗規範，機身作為無人機的主體，包含以下核心裝載項目：油箱（儲存燃油）酬載（如航拍相機、感測器或貨物）各種設備（如飛行控制電腦、通訊與電力系統）</v>
      </c>
    </row>
    <row r="608" spans="1:9" s="3" customFormat="1" ht="15">
      <c r="A608" s="2" t="s">
        <v>114</v>
      </c>
      <c r="B608" s="1"/>
      <c r="C608" s="7" t="str">
        <f>"(A.)"&amp;D607</f>
        <v>(A.)油箱。</v>
      </c>
      <c r="D608" s="2"/>
      <c r="E608" s="2"/>
      <c r="F608" s="2"/>
      <c r="G608" s="2"/>
      <c r="H608" s="2"/>
      <c r="I608" s="2"/>
    </row>
    <row r="609" spans="1:9" s="3" customFormat="1" ht="15">
      <c r="A609" s="2"/>
      <c r="B609" s="1"/>
      <c r="C609" s="7" t="str">
        <f>"(B.)"&amp;E607</f>
        <v>(B.)酬載。</v>
      </c>
      <c r="D609" s="2"/>
      <c r="E609" s="2"/>
      <c r="F609" s="2"/>
      <c r="G609" s="2"/>
      <c r="H609" s="2"/>
      <c r="I609" s="2"/>
    </row>
    <row r="610" spans="1:9" s="3" customFormat="1" ht="15">
      <c r="A610" s="2"/>
      <c r="B610" s="2"/>
      <c r="C610" s="7" t="str">
        <f>"(C.)"&amp;F607</f>
        <v>(C.)各種設備。</v>
      </c>
      <c r="D610" s="2"/>
      <c r="E610" s="2"/>
      <c r="F610" s="2"/>
      <c r="G610" s="2"/>
      <c r="H610" s="2"/>
      <c r="I610" s="2"/>
    </row>
    <row r="611" spans="1:9" s="3" customFormat="1" ht="15">
      <c r="A611" s="2"/>
      <c r="B611" s="2"/>
      <c r="C611" s="7" t="str">
        <f>"(D.)"&amp;G607</f>
        <v>(D.)以上皆是。</v>
      </c>
      <c r="D611" s="2"/>
      <c r="E611" s="2"/>
      <c r="F611" s="2"/>
      <c r="G611" s="2"/>
      <c r="H611" s="2"/>
      <c r="I611" s="2"/>
    </row>
    <row r="612" spans="1:9" s="3" customFormat="1" ht="15">
      <c r="A612" s="2"/>
      <c r="B612" s="2"/>
      <c r="C612" s="7" t="str">
        <f>"答案是： "&amp;IF(H607="A.",C608,IF(H607="B.",C609,IF(H607="C.",C610,IF(H607=("D."),C611,"XXXX"))))</f>
        <v>答案是： (D.)以上皆是。</v>
      </c>
      <c r="D612" s="2"/>
      <c r="E612" s="2"/>
      <c r="F612" s="2"/>
      <c r="G612" s="2"/>
      <c r="H612" s="2"/>
      <c r="I612" s="2"/>
    </row>
    <row r="613" spans="1:9" s="3" customFormat="1" ht="165">
      <c r="A613" s="2"/>
      <c r="B613" s="2"/>
      <c r="C613" s="7" t="str">
        <f>"說明："&amp;I607</f>
        <v>說明：此題考查基礎空氣動力學與無人機系統設計規範。無人機之重量與重心平衡(W&amp;B.)是確保飛航安全與操作性能符合原廠諸元的核心關鍵，飛行前操作人必須精確掌握並確認其皆處於安全審慎的合理限制內。
《》無人飛機機身的主要功用是裝載燃油、酬載及各種設備。根據遙控無人機學科測驗規範，機身作為無人機的主體，包含以下核心裝載項目：油箱（儲存燃油）酬載（如航拍相機、感測器或貨物）各種設備（如飛行控制電腦、通訊與電力系統）</v>
      </c>
      <c r="D613" s="2"/>
      <c r="E613" s="2"/>
      <c r="F613" s="2"/>
      <c r="G613" s="2"/>
      <c r="H613" s="2"/>
      <c r="I613" s="2"/>
    </row>
    <row r="614" spans="1:9" s="3" customFormat="1" ht="105">
      <c r="A614" s="4" t="str">
        <f>dB題庫!A95</f>
        <v>94</v>
      </c>
      <c r="B614" s="4" t="str">
        <f>dB題庫!B95</f>
        <v>無人飛機尾翼包括下列哪些物件</v>
      </c>
      <c r="C614" s="4" t="str">
        <f>A614&amp;"."&amp;B614</f>
        <v>94.無人飛機尾翼包括下列哪些物件</v>
      </c>
      <c r="D614" s="4" t="str">
        <f>dB題庫!C95</f>
        <v>大尾翼和小尾翼。</v>
      </c>
      <c r="E614" s="4" t="str">
        <f>dB題庫!D95</f>
        <v>高速尾翼和低速尾翼。</v>
      </c>
      <c r="F614" s="4" t="str">
        <f>dB題庫!E95</f>
        <v>水平尾翼和垂直尾翼。</v>
      </c>
      <c r="G614" s="4" t="str">
        <f>dB題庫!F95</f>
        <v>旋轉尾翼和固定尾翼。</v>
      </c>
      <c r="H614" s="4" t="str">
        <f>dB題庫!G95</f>
        <v>C.</v>
      </c>
      <c r="I614" s="4" t="str">
        <f>dB題庫!H95</f>
        <v>此題考查基礎空氣動力學與無人機系統設計規範。無人機之重量與重心平衡(W&amp;B.)是確保飛航安全與操作性能符合原廠諸元的核心關鍵，飛行前操作人必須精確掌握並確認其皆處於安全審慎的合理限制內。
《》無人飛機的尾翼主要包括水平尾翼與垂直尾翼兩個物件。根據交通部民航局的學科測驗題庫，這些尾翼的細部構造為：水平尾翼：由「固定的水平安定面」和「可動的升降舵」組成。垂直尾翼：由「固定的垂直安定面」和「可動的方向舵」組成。</v>
      </c>
    </row>
    <row r="615" spans="1:9" s="3" customFormat="1" ht="15">
      <c r="A615" s="2" t="s">
        <v>114</v>
      </c>
      <c r="B615" s="1"/>
      <c r="C615" s="7" t="str">
        <f>"(A.)"&amp;D614</f>
        <v>(A.)大尾翼和小尾翼。</v>
      </c>
      <c r="D615" s="2"/>
      <c r="E615" s="2"/>
      <c r="F615" s="2"/>
      <c r="G615" s="2"/>
      <c r="H615" s="2"/>
      <c r="I615" s="2"/>
    </row>
    <row r="616" spans="1:9" s="3" customFormat="1" ht="15">
      <c r="A616" s="2"/>
      <c r="B616" s="1"/>
      <c r="C616" s="7" t="str">
        <f>"(B.)"&amp;E614</f>
        <v>(B.)高速尾翼和低速尾翼。</v>
      </c>
      <c r="D616" s="2"/>
      <c r="E616" s="2"/>
      <c r="F616" s="2"/>
      <c r="G616" s="2"/>
      <c r="H616" s="2"/>
      <c r="I616" s="2"/>
    </row>
    <row r="617" spans="1:9" s="3" customFormat="1" ht="15">
      <c r="A617" s="2"/>
      <c r="B617" s="2"/>
      <c r="C617" s="7" t="str">
        <f>"(C.)"&amp;F614</f>
        <v>(C.)水平尾翼和垂直尾翼。</v>
      </c>
      <c r="D617" s="2"/>
      <c r="E617" s="2"/>
      <c r="F617" s="2"/>
      <c r="G617" s="2"/>
      <c r="H617" s="2"/>
      <c r="I617" s="2"/>
    </row>
    <row r="618" spans="1:9" s="3" customFormat="1" ht="15">
      <c r="A618" s="2"/>
      <c r="B618" s="2"/>
      <c r="C618" s="7" t="str">
        <f>"(D.)"&amp;G614</f>
        <v>(D.)旋轉尾翼和固定尾翼。</v>
      </c>
      <c r="D618" s="2"/>
      <c r="E618" s="2"/>
      <c r="F618" s="2"/>
      <c r="G618" s="2"/>
      <c r="H618" s="2"/>
      <c r="I618" s="2"/>
    </row>
    <row r="619" spans="1:9" s="3" customFormat="1" ht="15">
      <c r="A619" s="2"/>
      <c r="B619" s="2"/>
      <c r="C619" s="7" t="str">
        <f>"答案是： "&amp;IF(H614="A.",C615,IF(H614="B.",C616,IF(H614="C.",C617,IF(H614=("D."),C618,"XXXX"))))</f>
        <v>答案是： (C.)水平尾翼和垂直尾翼。</v>
      </c>
      <c r="D619" s="2"/>
      <c r="E619" s="2"/>
      <c r="F619" s="2"/>
      <c r="G619" s="2"/>
      <c r="H619" s="2"/>
      <c r="I619" s="2"/>
    </row>
    <row r="620" spans="1:9" s="3" customFormat="1" ht="165">
      <c r="A620" s="2"/>
      <c r="B620" s="2"/>
      <c r="C620" s="7" t="str">
        <f>"說明："&amp;I614</f>
        <v>說明：此題考查基礎空氣動力學與無人機系統設計規範。無人機之重量與重心平衡(W&amp;B.)是確保飛航安全與操作性能符合原廠諸元的核心關鍵，飛行前操作人必須精確掌握並確認其皆處於安全審慎的合理限制內。
《》無人飛機的尾翼主要包括水平尾翼與垂直尾翼兩個物件。根據交通部民航局的學科測驗題庫，這些尾翼的細部構造為：水平尾翼：由「固定的水平安定面」和「可動的升降舵」組成。垂直尾翼：由「固定的垂直安定面」和「可動的方向舵」組成。</v>
      </c>
      <c r="D620" s="2"/>
      <c r="E620" s="2"/>
      <c r="F620" s="2"/>
      <c r="G620" s="2"/>
      <c r="H620" s="2"/>
      <c r="I620" s="2"/>
    </row>
    <row r="621" spans="1:9" s="3" customFormat="1" ht="60">
      <c r="A621" s="4" t="str">
        <f>dB題庫!A96</f>
        <v>95</v>
      </c>
      <c r="B621" s="4" t="str">
        <f>dB題庫!B96</f>
        <v>無人飛機水平尾翼包括下列哪些物件</v>
      </c>
      <c r="C621" s="4" t="str">
        <f>A621&amp;"."&amp;B621</f>
        <v>95.無人飛機水平尾翼包括下列哪些物件</v>
      </c>
      <c r="D621" s="4" t="str">
        <f>dB題庫!C96</f>
        <v>固定的升降舵和可動的水平安定面。</v>
      </c>
      <c r="E621" s="4" t="str">
        <f>dB題庫!D96</f>
        <v>固定的水平安定面和可動的升降舵。</v>
      </c>
      <c r="F621" s="4" t="str">
        <f>dB題庫!E96</f>
        <v>固定的升降舵和水平安定面。</v>
      </c>
      <c r="G621" s="4" t="str">
        <f>dB題庫!F96</f>
        <v>可動的升降舵和水平安定面。</v>
      </c>
      <c r="H621" s="4" t="str">
        <f>dB題庫!G96</f>
        <v>B.</v>
      </c>
      <c r="I621" s="4" t="str">
        <f>dB題庫!H96</f>
        <v>水平尾翼通常由固定的水平安定面和可動的升降舵組成，用以控制無人機的俯仰(Pitch)平衡與姿態。</v>
      </c>
    </row>
    <row r="622" spans="1:9" s="3" customFormat="1" ht="15">
      <c r="A622" s="2" t="s">
        <v>114</v>
      </c>
      <c r="B622" s="1"/>
      <c r="C622" s="7" t="str">
        <f>"(A.)"&amp;D621</f>
        <v>(A.)固定的升降舵和可動的水平安定面。</v>
      </c>
      <c r="D622" s="2"/>
      <c r="E622" s="2"/>
      <c r="F622" s="2"/>
      <c r="G622" s="2"/>
      <c r="H622" s="2"/>
      <c r="I622" s="2"/>
    </row>
    <row r="623" spans="1:9" s="3" customFormat="1" ht="15">
      <c r="A623" s="2"/>
      <c r="B623" s="1"/>
      <c r="C623" s="7" t="str">
        <f>"(B.)"&amp;E621</f>
        <v>(B.)固定的水平安定面和可動的升降舵。</v>
      </c>
      <c r="D623" s="2"/>
      <c r="E623" s="2"/>
      <c r="F623" s="2"/>
      <c r="G623" s="2"/>
      <c r="H623" s="2"/>
      <c r="I623" s="2"/>
    </row>
    <row r="624" spans="1:9" s="3" customFormat="1" ht="15">
      <c r="A624" s="2"/>
      <c r="B624" s="2"/>
      <c r="C624" s="7" t="str">
        <f>"(C.)"&amp;F621</f>
        <v>(C.)固定的升降舵和水平安定面。</v>
      </c>
      <c r="D624" s="2"/>
      <c r="E624" s="2"/>
      <c r="F624" s="2"/>
      <c r="G624" s="2"/>
      <c r="H624" s="2"/>
      <c r="I624" s="2"/>
    </row>
    <row r="625" spans="1:9" s="3" customFormat="1" ht="15">
      <c r="A625" s="2"/>
      <c r="B625" s="2"/>
      <c r="C625" s="7" t="str">
        <f>"(D.)"&amp;G621</f>
        <v>(D.)可動的升降舵和水平安定面。</v>
      </c>
      <c r="D625" s="2"/>
      <c r="E625" s="2"/>
      <c r="F625" s="2"/>
      <c r="G625" s="2"/>
      <c r="H625" s="2"/>
      <c r="I625" s="2"/>
    </row>
    <row r="626" spans="1:9" s="3" customFormat="1" ht="30">
      <c r="A626" s="2"/>
      <c r="B626" s="2"/>
      <c r="C626" s="7" t="str">
        <f>"答案是： "&amp;IF(H621="A.",C622,IF(H621="B.",C623,IF(H621="C.",C624,IF(H621=("D."),C625,"XXXX"))))</f>
        <v>答案是： (B.)固定的水平安定面和可動的升降舵。</v>
      </c>
      <c r="D626" s="2"/>
      <c r="E626" s="2"/>
      <c r="F626" s="2"/>
      <c r="G626" s="2"/>
      <c r="H626" s="2"/>
      <c r="I626" s="2"/>
    </row>
    <row r="627" spans="1:9" s="3" customFormat="1" ht="45">
      <c r="A627" s="2"/>
      <c r="B627" s="2"/>
      <c r="C627" s="7" t="str">
        <f>"說明："&amp;I621</f>
        <v>說明：水平尾翼通常由固定的水平安定面和可動的升降舵組成，用以控制無人機的俯仰(Pitch)平衡與姿態。</v>
      </c>
      <c r="D627" s="2"/>
      <c r="E627" s="2"/>
      <c r="F627" s="2"/>
      <c r="G627" s="2"/>
      <c r="H627" s="2"/>
      <c r="I627" s="2"/>
    </row>
    <row r="628" spans="1:9" s="3" customFormat="1" ht="60">
      <c r="A628" s="4" t="str">
        <f>dB題庫!A97</f>
        <v>96</v>
      </c>
      <c r="B628" s="4" t="str">
        <f>dB題庫!B97</f>
        <v>無人飛機垂直尾翼包括下列哪些物件</v>
      </c>
      <c r="C628" s="4" t="str">
        <f>A628&amp;"."&amp;B628</f>
        <v>96.無人飛機垂直尾翼包括下列哪些物件</v>
      </c>
      <c r="D628" s="4" t="str">
        <f>dB題庫!C97</f>
        <v>固定的方向舵和可動的垂直安定面。</v>
      </c>
      <c r="E628" s="4" t="str">
        <f>dB題庫!D97</f>
        <v>固定的垂直安定面和可動的方向舵。</v>
      </c>
      <c r="F628" s="4" t="str">
        <f>dB題庫!E97</f>
        <v>固定的方向舵和垂直安定面。</v>
      </c>
      <c r="G628" s="4" t="str">
        <f>dB題庫!F97</f>
        <v>可動的方向舵和垂直安定面。</v>
      </c>
      <c r="H628" s="4" t="str">
        <f>dB題庫!G97</f>
        <v>B.</v>
      </c>
      <c r="I628" s="4" t="str">
        <f>dB題庫!H97</f>
        <v>垂直尾翼通常由固定的垂直安定面和可動的方向舵組成，用以維持無人機的方向穩定性與航向操控。</v>
      </c>
    </row>
    <row r="629" spans="1:9" s="3" customFormat="1" ht="15">
      <c r="A629" s="2" t="s">
        <v>114</v>
      </c>
      <c r="B629" s="1"/>
      <c r="C629" s="7" t="str">
        <f>"(A.)"&amp;D628</f>
        <v>(A.)固定的方向舵和可動的垂直安定面。</v>
      </c>
      <c r="D629" s="2"/>
      <c r="E629" s="2"/>
      <c r="F629" s="2"/>
      <c r="G629" s="2"/>
      <c r="H629" s="2"/>
      <c r="I629" s="2"/>
    </row>
    <row r="630" spans="1:9" s="3" customFormat="1" ht="15">
      <c r="A630" s="2"/>
      <c r="B630" s="1"/>
      <c r="C630" s="7" t="str">
        <f>"(B.)"&amp;E628</f>
        <v>(B.)固定的垂直安定面和可動的方向舵。</v>
      </c>
      <c r="D630" s="2"/>
      <c r="E630" s="2"/>
      <c r="F630" s="2"/>
      <c r="G630" s="2"/>
      <c r="H630" s="2"/>
      <c r="I630" s="2"/>
    </row>
    <row r="631" spans="1:9" s="3" customFormat="1" ht="15">
      <c r="A631" s="2"/>
      <c r="B631" s="2"/>
      <c r="C631" s="7" t="str">
        <f>"(C.)"&amp;F628</f>
        <v>(C.)固定的方向舵和垂直安定面。</v>
      </c>
      <c r="D631" s="2"/>
      <c r="E631" s="2"/>
      <c r="F631" s="2"/>
      <c r="G631" s="2"/>
      <c r="H631" s="2"/>
      <c r="I631" s="2"/>
    </row>
    <row r="632" spans="1:9" s="3" customFormat="1" ht="15">
      <c r="A632" s="2"/>
      <c r="B632" s="2"/>
      <c r="C632" s="7" t="str">
        <f>"(D.)"&amp;G628</f>
        <v>(D.)可動的方向舵和垂直安定面。</v>
      </c>
      <c r="D632" s="2"/>
      <c r="E632" s="2"/>
      <c r="F632" s="2"/>
      <c r="G632" s="2"/>
      <c r="H632" s="2"/>
      <c r="I632" s="2"/>
    </row>
    <row r="633" spans="1:9" s="3" customFormat="1" ht="30">
      <c r="A633" s="2"/>
      <c r="B633" s="2"/>
      <c r="C633" s="7" t="str">
        <f>"答案是： "&amp;IF(H628="A.",C629,IF(H628="B.",C630,IF(H628="C.",C631,IF(H628=("D."),C632,"XXXX"))))</f>
        <v>答案是： (B.)固定的垂直安定面和可動的方向舵。</v>
      </c>
      <c r="D633" s="2"/>
      <c r="E633" s="2"/>
      <c r="F633" s="2"/>
      <c r="G633" s="2"/>
      <c r="H633" s="2"/>
      <c r="I633" s="2"/>
    </row>
    <row r="634" spans="1:9" s="3" customFormat="1" ht="45">
      <c r="A634" s="2"/>
      <c r="B634" s="2"/>
      <c r="C634" s="7" t="str">
        <f>"說明："&amp;I628</f>
        <v>說明：垂直尾翼通常由固定的垂直安定面和可動的方向舵組成，用以維持無人機的方向穩定性與航向操控。</v>
      </c>
      <c r="D634" s="2"/>
      <c r="E634" s="2"/>
      <c r="F634" s="2"/>
      <c r="G634" s="2"/>
      <c r="H634" s="2"/>
      <c r="I634" s="2"/>
    </row>
    <row r="635" spans="1:9" s="3" customFormat="1" ht="150">
      <c r="A635" s="4" t="str">
        <f>dB題庫!A98</f>
        <v>97</v>
      </c>
      <c r="B635" s="4" t="str">
        <f>dB題庫!B98</f>
        <v>無人飛機的起落架大都由下列哪些物件組成</v>
      </c>
      <c r="C635" s="4" t="str">
        <f>A635&amp;"."&amp;B635</f>
        <v>97.無人飛機的起落架大都由下列哪些物件組成</v>
      </c>
      <c r="D635" s="4" t="str">
        <f>dB題庫!C98</f>
        <v>減震支柱和機輪。</v>
      </c>
      <c r="E635" s="4" t="str">
        <f>dB題庫!D98</f>
        <v>蒙皮和鉚釘。</v>
      </c>
      <c r="F635" s="4" t="str">
        <f>dB題庫!E98</f>
        <v>坡頂桁架和平行弦桁架。</v>
      </c>
      <c r="G635" s="4" t="str">
        <f>dB題庫!F98</f>
        <v>拉力元件和扭力元件。</v>
      </c>
      <c r="H635" s="4" t="str">
        <f>dB題庫!G98</f>
        <v>A.</v>
      </c>
      <c r="I635" s="4" t="str">
        <f>dB題庫!H98</f>
        <v>根據交通部民用航空局發布的《遙控無人機學科測驗規範》，無人飛機的起落架除了煞車系統、轉向系統之外，大都由減震支柱和機輪等組成。
選項(A.) 減震支柱和機輪：正確。減震支柱用來吸收著陸時的衝擊力，機輪則用於地面滑行與支撐機身；均屬於起落架之組成物件。
選項(B.) 蒙皮和鉚釘：錯誤。這是組成飛機機身結構與外殼的主要物件，而非起落架。
選項(C.) 坡頂桁架和平行弦桁架：錯誤。這是建築工程或橋梁結構中常見的桁架種類，與飛機結構無關。
選項(D.) 拉力元件和扭力元件：錯誤。這屬於力學分析中的受力元件分類，非起落架的主要組成物件。</v>
      </c>
    </row>
    <row r="636" spans="1:9" s="3" customFormat="1" ht="15">
      <c r="A636" s="2" t="s">
        <v>114</v>
      </c>
      <c r="B636" s="1"/>
      <c r="C636" s="7" t="str">
        <f>"(A.)"&amp;D635</f>
        <v>(A.)減震支柱和機輪。</v>
      </c>
      <c r="D636" s="2"/>
      <c r="E636" s="2"/>
      <c r="F636" s="2"/>
      <c r="G636" s="2"/>
      <c r="H636" s="2"/>
      <c r="I636" s="2"/>
    </row>
    <row r="637" spans="1:9" s="3" customFormat="1" ht="15">
      <c r="A637" s="2"/>
      <c r="B637" s="1"/>
      <c r="C637" s="7" t="str">
        <f>"(B.)"&amp;E635</f>
        <v>(B.)蒙皮和鉚釘。</v>
      </c>
      <c r="D637" s="2"/>
      <c r="E637" s="2"/>
      <c r="F637" s="2"/>
      <c r="G637" s="2"/>
      <c r="H637" s="2"/>
      <c r="I637" s="2"/>
    </row>
    <row r="638" spans="1:9" s="3" customFormat="1" ht="15">
      <c r="A638" s="2"/>
      <c r="B638" s="2"/>
      <c r="C638" s="7" t="str">
        <f>"(C.)"&amp;F635</f>
        <v>(C.)坡頂桁架和平行弦桁架。</v>
      </c>
      <c r="D638" s="2"/>
      <c r="E638" s="2"/>
      <c r="F638" s="2"/>
      <c r="G638" s="2"/>
      <c r="H638" s="2"/>
      <c r="I638" s="2"/>
    </row>
    <row r="639" spans="1:9" s="3" customFormat="1" ht="15">
      <c r="A639" s="2"/>
      <c r="B639" s="2"/>
      <c r="C639" s="7" t="str">
        <f>"(D.)"&amp;G635</f>
        <v>(D.)拉力元件和扭力元件。</v>
      </c>
      <c r="D639" s="2"/>
      <c r="E639" s="2"/>
      <c r="F639" s="2"/>
      <c r="G639" s="2"/>
      <c r="H639" s="2"/>
      <c r="I639" s="2"/>
    </row>
    <row r="640" spans="1:9" s="3" customFormat="1" ht="15">
      <c r="A640" s="2"/>
      <c r="B640" s="2"/>
      <c r="C640" s="7" t="str">
        <f>"答案是： "&amp;IF(H635="A.",C636,IF(H635="B.",C637,IF(H635="C.",C638,IF(H635=("D."),C639,"XXXX"))))</f>
        <v>答案是： (A.)減震支柱和機輪。</v>
      </c>
      <c r="D640" s="2"/>
      <c r="E640" s="2"/>
      <c r="F640" s="2"/>
      <c r="G640" s="2"/>
      <c r="H640" s="2"/>
      <c r="I640" s="2"/>
    </row>
    <row r="641" spans="1:9" s="3" customFormat="1" ht="225">
      <c r="A641" s="2"/>
      <c r="B641" s="2"/>
      <c r="C641" s="7" t="str">
        <f>"說明："&amp;I635</f>
        <v>說明：根據交通部民用航空局發布的《遙控無人機學科測驗規範》，無人飛機的起落架除了煞車系統、轉向系統之外，大都由減震支柱和機輪等組成。
選項(A.) 減震支柱和機輪：正確。減震支柱用來吸收著陸時的衝擊力，機輪則用於地面滑行與支撐機身；均屬於起落架之組成物件。
選項(B.) 蒙皮和鉚釘：錯誤。這是組成飛機機身結構與外殼的主要物件，而非起落架。
選項(C.) 坡頂桁架和平行弦桁架：錯誤。這是建築工程或橋梁結構中常見的桁架種類，與飛機結構無關。
選項(D.) 拉力元件和扭力元件：錯誤。這屬於力學分析中的受力元件分類，非起落架的主要組成物件。</v>
      </c>
      <c r="D641" s="2"/>
      <c r="E641" s="2"/>
      <c r="F641" s="2"/>
      <c r="G641" s="2"/>
      <c r="H641" s="2"/>
      <c r="I641" s="2"/>
    </row>
    <row r="642" spans="1:9" s="3" customFormat="1" ht="150">
      <c r="A642" s="4" t="str">
        <f>dB題庫!A99</f>
        <v>98</v>
      </c>
      <c r="B642" s="4" t="str">
        <f>dB題庫!B99</f>
        <v>起落架的作用是在下列哪個時機支撐無人飛機</v>
      </c>
      <c r="C642" s="4" t="str">
        <f>A642&amp;"."&amp;B642</f>
        <v>98.起落架的作用是在下列哪個時機支撐無人飛機</v>
      </c>
      <c r="D642" s="4" t="str">
        <f>dB題庫!C99</f>
        <v>起飛時。</v>
      </c>
      <c r="E642" s="4" t="str">
        <f>dB題庫!D99</f>
        <v>著陸滑跑時。</v>
      </c>
      <c r="F642" s="4" t="str">
        <f>dB題庫!E99</f>
        <v>地面滑行和停放時。</v>
      </c>
      <c r="G642" s="4" t="str">
        <f>dB題庫!F99</f>
        <v>以上皆是。</v>
      </c>
      <c r="H642" s="4" t="str">
        <f>dB題庫!G99</f>
        <v>D.</v>
      </c>
      <c r="I642" s="4" t="str">
        <f>dB題庫!H99</f>
        <v>選項分析與說明：
(A.) 起飛時：起飛在地面滑跑加速時，起落架必須支撐全機重量，直到飛機獲得足夠升力離地為止。
(B.) 著陸滑跑時：飛機降落接觸地面的瞬間，起落架的減震支柱需要吸收巨大的衝擊力，並在隨後的滑跑減速過程中持續支撐機體。
(C.) 地面滑行和停放時：在地面移動（滑行）前往跑道，或是靜止停放在停機坪時，無人機完全依靠起落架來承載所有重量並保持機身穩定。
綜上，起落架（起落裝置）的核心功能就是負責無人機在所有地面階段與起降過程中的支撐與緩衝。
因此選擇 (D.) 以上皆是，才是最完整的敘述。</v>
      </c>
    </row>
    <row r="643" spans="1:9" s="3" customFormat="1" ht="15">
      <c r="A643" s="2" t="s">
        <v>114</v>
      </c>
      <c r="B643" s="1"/>
      <c r="C643" s="7" t="str">
        <f>"(A.)"&amp;D642</f>
        <v>(A.)起飛時。</v>
      </c>
      <c r="D643" s="2"/>
      <c r="E643" s="2"/>
      <c r="F643" s="2"/>
      <c r="G643" s="2"/>
      <c r="H643" s="2"/>
      <c r="I643" s="2"/>
    </row>
    <row r="644" spans="1:9" s="3" customFormat="1" ht="15">
      <c r="A644" s="2"/>
      <c r="B644" s="1"/>
      <c r="C644" s="7" t="str">
        <f>"(B.)"&amp;E642</f>
        <v>(B.)著陸滑跑時。</v>
      </c>
      <c r="D644" s="2"/>
      <c r="E644" s="2"/>
      <c r="F644" s="2"/>
      <c r="G644" s="2"/>
      <c r="H644" s="2"/>
      <c r="I644" s="2"/>
    </row>
    <row r="645" spans="1:9" s="3" customFormat="1" ht="15">
      <c r="A645" s="2"/>
      <c r="B645" s="2"/>
      <c r="C645" s="7" t="str">
        <f>"(C.)"&amp;F642</f>
        <v>(C.)地面滑行和停放時。</v>
      </c>
      <c r="D645" s="2"/>
      <c r="E645" s="2"/>
      <c r="F645" s="2"/>
      <c r="G645" s="2"/>
      <c r="H645" s="2"/>
      <c r="I645" s="2"/>
    </row>
    <row r="646" spans="1:9" s="3" customFormat="1" ht="15">
      <c r="A646" s="2"/>
      <c r="B646" s="2"/>
      <c r="C646" s="7" t="str">
        <f>"(D.)"&amp;G642</f>
        <v>(D.)以上皆是。</v>
      </c>
      <c r="D646" s="2"/>
      <c r="E646" s="2"/>
      <c r="F646" s="2"/>
      <c r="G646" s="2"/>
      <c r="H646" s="2"/>
      <c r="I646" s="2"/>
    </row>
    <row r="647" spans="1:9" s="3" customFormat="1" ht="15">
      <c r="A647" s="2"/>
      <c r="B647" s="2"/>
      <c r="C647" s="7" t="str">
        <f>"答案是： "&amp;IF(H642="A.",C643,IF(H642="B.",C644,IF(H642="C.",C645,IF(H642=("D."),C646,"XXXX"))))</f>
        <v>答案是： (D.)以上皆是。</v>
      </c>
      <c r="D647" s="2"/>
      <c r="E647" s="2"/>
      <c r="F647" s="2"/>
      <c r="G647" s="2"/>
      <c r="H647" s="2"/>
      <c r="I647" s="2"/>
    </row>
    <row r="648" spans="1:9" s="3" customFormat="1" ht="210">
      <c r="A648" s="2"/>
      <c r="B648" s="2"/>
      <c r="C648" s="7" t="str">
        <f>"說明："&amp;I642</f>
        <v>說明：選項分析與說明：
(A.) 起飛時：起飛在地面滑跑加速時，起落架必須支撐全機重量，直到飛機獲得足夠升力離地為止。
(B.) 著陸滑跑時：飛機降落接觸地面的瞬間，起落架的減震支柱需要吸收巨大的衝擊力，並在隨後的滑跑減速過程中持續支撐機體。
(C.) 地面滑行和停放時：在地面移動（滑行）前往跑道，或是靜止停放在停機坪時，無人機完全依靠起落架來承載所有重量並保持機身穩定。
綜上，起落架（起落裝置）的核心功能就是負責無人機在所有地面階段與起降過程中的支撐與緩衝。
因此選擇 (D.) 以上皆是，才是最完整的敘述。</v>
      </c>
      <c r="D648" s="2"/>
      <c r="E648" s="2"/>
      <c r="F648" s="2"/>
      <c r="G648" s="2"/>
      <c r="H648" s="2"/>
      <c r="I648" s="2"/>
    </row>
    <row r="649" spans="1:9" s="3" customFormat="1" ht="30">
      <c r="A649" s="4" t="str">
        <f>dB題庫!A100</f>
        <v>99</v>
      </c>
      <c r="B649" s="4" t="str">
        <f>dB題庫!B100</f>
        <v>動力系統主要用來產生使遙控無人機前進的下列哪些力</v>
      </c>
      <c r="C649" s="4" t="str">
        <f>A649&amp;"."&amp;B649</f>
        <v>99.動力系統主要用來產生使遙控無人機前進的下列哪些力</v>
      </c>
      <c r="D649" s="4" t="str">
        <f>dB題庫!C100</f>
        <v>重力與升力。</v>
      </c>
      <c r="E649" s="4" t="str">
        <f>dB題庫!D100</f>
        <v>重力與阻力。</v>
      </c>
      <c r="F649" s="4" t="str">
        <f>dB題庫!E100</f>
        <v>拉力和推力。</v>
      </c>
      <c r="G649" s="4" t="str">
        <f>dB題庫!F100</f>
        <v>升力與阻力。</v>
      </c>
      <c r="H649" s="4" t="str">
        <f>dB題庫!G100</f>
        <v>C.</v>
      </c>
      <c r="I649" s="4" t="str">
        <f>dB題庫!H100</f>
        <v>動力系統主要用來產生使遙控無人機前進的力為拉力（Thrust）與推力（Push/Thrust）</v>
      </c>
    </row>
    <row r="650" spans="1:9" s="3" customFormat="1" ht="15">
      <c r="A650" s="2" t="s">
        <v>114</v>
      </c>
      <c r="B650" s="1"/>
      <c r="C650" s="7" t="str">
        <f>"(A.)"&amp;D649</f>
        <v>(A.)重力與升力。</v>
      </c>
      <c r="D650" s="2"/>
      <c r="E650" s="2"/>
      <c r="F650" s="2"/>
      <c r="G650" s="2"/>
      <c r="H650" s="2"/>
      <c r="I650" s="2"/>
    </row>
    <row r="651" spans="1:9" s="3" customFormat="1" ht="15">
      <c r="A651" s="2"/>
      <c r="B651" s="1"/>
      <c r="C651" s="7" t="str">
        <f>"(B.)"&amp;E649</f>
        <v>(B.)重力與阻力。</v>
      </c>
      <c r="D651" s="2"/>
      <c r="E651" s="2"/>
      <c r="F651" s="2"/>
      <c r="G651" s="2"/>
      <c r="H651" s="2"/>
      <c r="I651" s="2"/>
    </row>
    <row r="652" spans="1:9" s="3" customFormat="1" ht="15">
      <c r="A652" s="2"/>
      <c r="B652" s="2"/>
      <c r="C652" s="7" t="str">
        <f>"(C.)"&amp;F649</f>
        <v>(C.)拉力和推力。</v>
      </c>
      <c r="D652" s="2"/>
      <c r="E652" s="2"/>
      <c r="F652" s="2"/>
      <c r="G652" s="2"/>
      <c r="H652" s="2"/>
      <c r="I652" s="2"/>
    </row>
    <row r="653" spans="1:9" s="3" customFormat="1" ht="15">
      <c r="A653" s="2"/>
      <c r="B653" s="2"/>
      <c r="C653" s="7" t="str">
        <f>"(D.)"&amp;G649</f>
        <v>(D.)升力與阻力。</v>
      </c>
      <c r="D653" s="2"/>
      <c r="E653" s="2"/>
      <c r="F653" s="2"/>
      <c r="G653" s="2"/>
      <c r="H653" s="2"/>
      <c r="I653" s="2"/>
    </row>
    <row r="654" spans="1:9" s="3" customFormat="1" ht="15">
      <c r="A654" s="2"/>
      <c r="B654" s="2"/>
      <c r="C654" s="7" t="str">
        <f>"答案是： "&amp;IF(H649="A.",C650,IF(H649="B.",C651,IF(H649="C.",C652,IF(H649=("D."),C653,"XXXX"))))</f>
        <v>答案是： (C.)拉力和推力。</v>
      </c>
      <c r="D654" s="2"/>
      <c r="E654" s="2"/>
      <c r="F654" s="2"/>
      <c r="G654" s="2"/>
      <c r="H654" s="2"/>
      <c r="I654" s="2"/>
    </row>
    <row r="655" spans="1:9" s="3" customFormat="1" ht="30">
      <c r="A655" s="2"/>
      <c r="B655" s="2"/>
      <c r="C655" s="7" t="str">
        <f>"說明："&amp;I649</f>
        <v>說明：動力系統主要用來產生使遙控無人機前進的力為拉力（Thrust）與推力（Push/Thrust）</v>
      </c>
      <c r="D655" s="2"/>
      <c r="E655" s="2"/>
      <c r="F655" s="2"/>
      <c r="G655" s="2"/>
      <c r="H655" s="2"/>
      <c r="I655" s="2"/>
    </row>
    <row r="656" spans="1:9" s="3" customFormat="1" ht="60">
      <c r="A656" s="4" t="str">
        <f>dB題庫!A101</f>
        <v>100</v>
      </c>
      <c r="B656" s="4" t="str">
        <f>dB題庫!B101</f>
        <v>無人飛機常見的動力系統有下列哪個項目</v>
      </c>
      <c r="C656" s="4" t="str">
        <f>A656&amp;"."&amp;B656</f>
        <v>100.無人飛機常見的動力系統有下列哪個項目</v>
      </c>
      <c r="D656" s="4" t="str">
        <f>dB題庫!C101</f>
        <v>航空活塞式發動機加螺旋槳推進器。</v>
      </c>
      <c r="E656" s="4" t="str">
        <f>dB題庫!D101</f>
        <v>渦輪噴氣發動機。</v>
      </c>
      <c r="F656" s="4" t="str">
        <f>dB題庫!E101</f>
        <v>渦輪螺旋槳發動機和渦輪扇或導風扇發動機。</v>
      </c>
      <c r="G656" s="4" t="str">
        <f>dB題庫!F101</f>
        <v>以上皆是。</v>
      </c>
      <c r="H656" s="4" t="str">
        <f>dB題庫!G101</f>
        <v>D.</v>
      </c>
      <c r="I656" s="4" t="str">
        <f>dB題庫!H101</f>
        <v>無人飛機常見的動力系統包括：(A.) 航空活塞式發動機加螺旋槳推進器、(B.) 渦輪噴氣發動機，以及(C.) 渦輪螺旋槳發動機和渦輪扇或導風扇發動機。因此，正確答案為 (D.) 以上皆是。</v>
      </c>
    </row>
    <row r="657" spans="1:9" s="3" customFormat="1" ht="15">
      <c r="A657" s="2" t="s">
        <v>114</v>
      </c>
      <c r="B657" s="1"/>
      <c r="C657" s="7" t="str">
        <f>"(A.)"&amp;D656</f>
        <v>(A.)航空活塞式發動機加螺旋槳推進器。</v>
      </c>
      <c r="D657" s="2"/>
      <c r="E657" s="2"/>
      <c r="F657" s="2"/>
      <c r="G657" s="2"/>
      <c r="H657" s="2"/>
      <c r="I657" s="2"/>
    </row>
    <row r="658" spans="1:9" s="3" customFormat="1" ht="15">
      <c r="A658" s="2"/>
      <c r="B658" s="1"/>
      <c r="C658" s="7" t="str">
        <f>"(B.)"&amp;E656</f>
        <v>(B.)渦輪噴氣發動機。</v>
      </c>
      <c r="D658" s="2"/>
      <c r="E658" s="2"/>
      <c r="F658" s="2"/>
      <c r="G658" s="2"/>
      <c r="H658" s="2"/>
      <c r="I658" s="2"/>
    </row>
    <row r="659" spans="1:9" s="3" customFormat="1" ht="30">
      <c r="A659" s="2"/>
      <c r="B659" s="2"/>
      <c r="C659" s="7" t="str">
        <f>"(C.)"&amp;F656</f>
        <v>(C.)渦輪螺旋槳發動機和渦輪扇或導風扇發動機。</v>
      </c>
      <c r="D659" s="2"/>
      <c r="E659" s="2"/>
      <c r="F659" s="2"/>
      <c r="G659" s="2"/>
      <c r="H659" s="2"/>
      <c r="I659" s="2"/>
    </row>
    <row r="660" spans="1:9" s="3" customFormat="1" ht="15">
      <c r="A660" s="2"/>
      <c r="B660" s="2"/>
      <c r="C660" s="7" t="str">
        <f>"(D.)"&amp;G656</f>
        <v>(D.)以上皆是。</v>
      </c>
      <c r="D660" s="2"/>
      <c r="E660" s="2"/>
      <c r="F660" s="2"/>
      <c r="G660" s="2"/>
      <c r="H660" s="2"/>
      <c r="I660" s="2"/>
    </row>
    <row r="661" spans="1:9" s="3" customFormat="1" ht="15">
      <c r="A661" s="2"/>
      <c r="B661" s="2"/>
      <c r="C661" s="7" t="str">
        <f>"答案是： "&amp;IF(H656="A.",C657,IF(H656="B.",C658,IF(H656="C.",C659,IF(H656=("D."),C660,"XXXX"))))</f>
        <v>答案是： (D.)以上皆是。</v>
      </c>
      <c r="D661" s="2"/>
      <c r="E661" s="2"/>
      <c r="F661" s="2"/>
      <c r="G661" s="2"/>
      <c r="H661" s="2"/>
      <c r="I661" s="2"/>
    </row>
    <row r="662" spans="1:9" s="3" customFormat="1" ht="60">
      <c r="A662" s="2"/>
      <c r="B662" s="2"/>
      <c r="C662" s="7" t="str">
        <f>"說明："&amp;I656</f>
        <v>說明：無人飛機常見的動力系統包括：(A.) 航空活塞式發動機加螺旋槳推進器、(B.) 渦輪噴氣發動機，以及(C.) 渦輪螺旋槳發動機和渦輪扇或導風扇發動機。因此，正確答案為 (D.) 以上皆是。</v>
      </c>
      <c r="D662" s="2"/>
      <c r="E662" s="2"/>
      <c r="F662" s="2"/>
      <c r="G662" s="2"/>
      <c r="H662" s="2"/>
      <c r="I662" s="2"/>
    </row>
    <row r="663" spans="1:9" s="3" customFormat="1" ht="45">
      <c r="A663" s="4" t="str">
        <f>dB題庫!A102</f>
        <v>101</v>
      </c>
      <c r="B663" s="4" t="str">
        <f>dB題庫!B102</f>
        <v>無人飛機上通常不會安裝下列哪種設備</v>
      </c>
      <c r="C663" s="4" t="str">
        <f>A663&amp;"."&amp;B663</f>
        <v>101.無人飛機上通常不會安裝下列哪種設備</v>
      </c>
      <c r="D663" s="4" t="str">
        <f>dB題庫!C102</f>
        <v>飛行儀表。</v>
      </c>
      <c r="E663" s="4" t="str">
        <f>dB題庫!D102</f>
        <v>通訊設備、導航設備。</v>
      </c>
      <c r="F663" s="4" t="str">
        <f>dB題庫!E102</f>
        <v>安全設備。</v>
      </c>
      <c r="G663" s="4" t="str">
        <f>dB題庫!F102</f>
        <v>以上皆是。</v>
      </c>
      <c r="H663" s="4" t="str">
        <f>dB題庫!G102</f>
        <v>A.</v>
      </c>
      <c r="I663" s="4" t="str">
        <f>dB題庫!H102</f>
        <v>無人飛機上通常不會安裝「飛行儀表」。因為無人機是從地面（或遙控站）進行遠端操控，飛行資訊會直接傳回地面控制站或顯示在操作者的螢幕上，因此不需要像傳統載人航空器那樣在機身內安裝實體的飛行儀表。</v>
      </c>
    </row>
    <row r="664" spans="1:9" s="3" customFormat="1" ht="15">
      <c r="A664" s="2" t="s">
        <v>114</v>
      </c>
      <c r="B664" s="1"/>
      <c r="C664" s="7" t="str">
        <f>"(A.)"&amp;D663</f>
        <v>(A.)飛行儀表。</v>
      </c>
      <c r="D664" s="2"/>
      <c r="E664" s="2"/>
      <c r="F664" s="2"/>
      <c r="G664" s="2"/>
      <c r="H664" s="2"/>
      <c r="I664" s="2"/>
    </row>
    <row r="665" spans="1:9" s="3" customFormat="1" ht="15">
      <c r="A665" s="2"/>
      <c r="B665" s="1"/>
      <c r="C665" s="7" t="str">
        <f>"(B.)"&amp;E663</f>
        <v>(B.)通訊設備、導航設備。</v>
      </c>
      <c r="D665" s="2"/>
      <c r="E665" s="2"/>
      <c r="F665" s="2"/>
      <c r="G665" s="2"/>
      <c r="H665" s="2"/>
      <c r="I665" s="2"/>
    </row>
    <row r="666" spans="1:9" s="3" customFormat="1" ht="15">
      <c r="A666" s="2"/>
      <c r="B666" s="2"/>
      <c r="C666" s="7" t="str">
        <f>"(C.)"&amp;F663</f>
        <v>(C.)安全設備。</v>
      </c>
      <c r="D666" s="2"/>
      <c r="E666" s="2"/>
      <c r="F666" s="2"/>
      <c r="G666" s="2"/>
      <c r="H666" s="2"/>
      <c r="I666" s="2"/>
    </row>
    <row r="667" spans="1:9" s="3" customFormat="1" ht="15">
      <c r="A667" s="2"/>
      <c r="B667" s="2"/>
      <c r="C667" s="7" t="str">
        <f>"(D.)"&amp;G663</f>
        <v>(D.)以上皆是。</v>
      </c>
      <c r="D667" s="2"/>
      <c r="E667" s="2"/>
      <c r="F667" s="2"/>
      <c r="G667" s="2"/>
      <c r="H667" s="2"/>
      <c r="I667" s="2"/>
    </row>
    <row r="668" spans="1:9" s="3" customFormat="1" ht="15">
      <c r="A668" s="2"/>
      <c r="B668" s="2"/>
      <c r="C668" s="7" t="str">
        <f>"答案是： "&amp;IF(H663="A.",C664,IF(H663="B.",C665,IF(H663="C.",C666,IF(H663=("D."),C667,"XXXX"))))</f>
        <v>答案是： (A.)飛行儀表。</v>
      </c>
      <c r="D668" s="2"/>
      <c r="E668" s="2"/>
      <c r="F668" s="2"/>
      <c r="G668" s="2"/>
      <c r="H668" s="2"/>
      <c r="I668" s="2"/>
    </row>
    <row r="669" spans="1:9" s="3" customFormat="1" ht="75">
      <c r="A669" s="2"/>
      <c r="B669" s="2"/>
      <c r="C669" s="7" t="str">
        <f>"說明："&amp;I663</f>
        <v>說明：無人飛機上通常不會安裝「飛行儀表」。因為無人機是從地面（或遙控站）進行遠端操控，飛行資訊會直接傳回地面控制站或顯示在操作者的螢幕上，因此不需要像傳統載人航空器那樣在機身內安裝實體的飛行儀表。</v>
      </c>
      <c r="D669" s="2"/>
      <c r="E669" s="2"/>
      <c r="F669" s="2"/>
      <c r="G669" s="2"/>
      <c r="H669" s="2"/>
      <c r="I669" s="2"/>
    </row>
    <row r="670" spans="1:9" s="3" customFormat="1" ht="60">
      <c r="A670" s="4" t="str">
        <f>dB題庫!A103</f>
        <v>102</v>
      </c>
      <c r="B670" s="4" t="str">
        <f>dB題庫!B103</f>
        <v>操作人操作油門和操縱桿,控制無人機的操縱面,來達到所想要的下列哪個目的</v>
      </c>
      <c r="C670" s="4" t="str">
        <f>A670&amp;"."&amp;B670</f>
        <v>102.操作人操作油門和操縱桿,控制無人機的操縱面,來達到所想要的下列哪個目的</v>
      </c>
      <c r="D670" s="4" t="str">
        <f>dB題庫!C103</f>
        <v>飛行姿態。</v>
      </c>
      <c r="E670" s="4" t="str">
        <f>dB題庫!D103</f>
        <v>發動機溫度。</v>
      </c>
      <c r="F670" s="4" t="str">
        <f>dB題庫!E103</f>
        <v>環境濕度。</v>
      </c>
      <c r="G670" s="4" t="str">
        <f>dB題庫!F103</f>
        <v>酬載功能。</v>
      </c>
      <c r="H670" s="4" t="str">
        <f>dB題庫!G103</f>
        <v>A.</v>
      </c>
      <c r="I670" s="4" t="str">
        <f>dB題庫!H103</f>
        <v>這題的答案是 (A.) 飛行姿態。操作人透過油門與操縱桿來改變無人機的狀態，主要是為了控制機體的俯仰、滾轉與偏航等空間位置。相關控制重點飛行姿態：控制無人機在三度空間中的移動與平衡。操縱面：如副翼、升降舵與方向舵，用來改變飛行方向。油門：調整動力輸出以配合姿態與高度變化。</v>
      </c>
    </row>
    <row r="671" spans="1:9" s="3" customFormat="1" ht="15">
      <c r="A671" s="2" t="s">
        <v>114</v>
      </c>
      <c r="B671" s="1"/>
      <c r="C671" s="7" t="str">
        <f>"(A.)"&amp;D670</f>
        <v>(A.)飛行姿態。</v>
      </c>
      <c r="D671" s="2"/>
      <c r="E671" s="2"/>
      <c r="F671" s="2"/>
      <c r="G671" s="2"/>
      <c r="H671" s="2"/>
      <c r="I671" s="2"/>
    </row>
    <row r="672" spans="1:9" s="3" customFormat="1" ht="15">
      <c r="A672" s="2"/>
      <c r="B672" s="1"/>
      <c r="C672" s="7" t="str">
        <f>"(B.)"&amp;E670</f>
        <v>(B.)發動機溫度。</v>
      </c>
      <c r="D672" s="2"/>
      <c r="E672" s="2"/>
      <c r="F672" s="2"/>
      <c r="G672" s="2"/>
      <c r="H672" s="2"/>
      <c r="I672" s="2"/>
    </row>
    <row r="673" spans="1:9" s="3" customFormat="1" ht="15">
      <c r="A673" s="2"/>
      <c r="B673" s="2"/>
      <c r="C673" s="7" t="str">
        <f>"(C.)"&amp;F670</f>
        <v>(C.)環境濕度。</v>
      </c>
      <c r="D673" s="2"/>
      <c r="E673" s="2"/>
      <c r="F673" s="2"/>
      <c r="G673" s="2"/>
      <c r="H673" s="2"/>
      <c r="I673" s="2"/>
    </row>
    <row r="674" spans="1:9" s="3" customFormat="1" ht="15">
      <c r="A674" s="2"/>
      <c r="B674" s="2"/>
      <c r="C674" s="7" t="str">
        <f>"(D.)"&amp;G670</f>
        <v>(D.)酬載功能。</v>
      </c>
      <c r="D674" s="2"/>
      <c r="E674" s="2"/>
      <c r="F674" s="2"/>
      <c r="G674" s="2"/>
      <c r="H674" s="2"/>
      <c r="I674" s="2"/>
    </row>
    <row r="675" spans="1:9" s="3" customFormat="1" ht="15">
      <c r="A675" s="2"/>
      <c r="B675" s="2"/>
      <c r="C675" s="7" t="str">
        <f>"答案是： "&amp;IF(H670="A.",C671,IF(H670="B.",C672,IF(H670="C.",C673,IF(H670=("D."),C674,"XXXX"))))</f>
        <v>答案是： (A.)飛行姿態。</v>
      </c>
      <c r="D675" s="2"/>
      <c r="E675" s="2"/>
      <c r="F675" s="2"/>
      <c r="G675" s="2"/>
      <c r="H675" s="2"/>
      <c r="I675" s="2"/>
    </row>
    <row r="676" spans="1:9" s="3" customFormat="1" ht="105">
      <c r="A676" s="2"/>
      <c r="B676" s="2"/>
      <c r="C676" s="7" t="str">
        <f>"說明："&amp;I670</f>
        <v>說明：這題的答案是 (A.) 飛行姿態。操作人透過油門與操縱桿來改變無人機的狀態，主要是為了控制機體的俯仰、滾轉與偏航等空間位置。相關控制重點飛行姿態：控制無人機在三度空間中的移動與平衡。操縱面：如副翼、升降舵與方向舵，用來改變飛行方向。油門：調整動力輸出以配合姿態與高度變化。</v>
      </c>
      <c r="D676" s="2"/>
      <c r="E676" s="2"/>
      <c r="F676" s="2"/>
      <c r="G676" s="2"/>
      <c r="H676" s="2"/>
      <c r="I676" s="2"/>
    </row>
    <row r="677" spans="1:9" s="3" customFormat="1" ht="45">
      <c r="A677" s="4" t="str">
        <f>dB題庫!A104</f>
        <v>103</v>
      </c>
      <c r="B677" s="4" t="str">
        <f>dB題庫!B104</f>
        <v>想像為一條由前往後穿過航空器的軸,稱之為下列哪個軸</v>
      </c>
      <c r="C677" s="4" t="str">
        <f>A677&amp;"."&amp;B677</f>
        <v>103.想像為一條由前往後穿過航空器的軸,稱之為下列哪個軸</v>
      </c>
      <c r="D677" s="4" t="str">
        <f>dB題庫!C104</f>
        <v>航空器縱軸(X軸)。</v>
      </c>
      <c r="E677" s="4" t="str">
        <f>dB題庫!D104</f>
        <v>航空器橫軸(Y軸)。</v>
      </c>
      <c r="F677" s="4" t="str">
        <f>dB題庫!E104</f>
        <v>航空器垂直軸(Z軸)。</v>
      </c>
      <c r="G677" s="4" t="str">
        <f>dB題庫!F104</f>
        <v>以上皆非。</v>
      </c>
      <c r="H677" s="4" t="str">
        <f>dB題庫!G104</f>
        <v>A.</v>
      </c>
      <c r="I677" s="4" t="str">
        <f>dB題庫!H104</f>
        <v>由前往後穿過航空器的軸稱之為航空器縱軸（X軸）。這條軸線負責控制航空器的左右滾轉（Roll）。如需了解更多關於飛行力學與航空原理的資訊，可參考交通部民用航空局的遙控無人機學科規範或維基百科上的飛行操縱面介紹。</v>
      </c>
    </row>
    <row r="678" spans="1:9" s="3" customFormat="1" ht="15">
      <c r="A678" s="2" t="s">
        <v>114</v>
      </c>
      <c r="B678" s="1"/>
      <c r="C678" s="7" t="str">
        <f>"(A.)"&amp;D677</f>
        <v>(A.)航空器縱軸(X軸)。</v>
      </c>
      <c r="D678" s="2"/>
      <c r="E678" s="2"/>
      <c r="F678" s="2"/>
      <c r="G678" s="2"/>
      <c r="H678" s="2"/>
      <c r="I678" s="2"/>
    </row>
    <row r="679" spans="1:9" s="3" customFormat="1" ht="15">
      <c r="A679" s="2"/>
      <c r="B679" s="1"/>
      <c r="C679" s="7" t="str">
        <f>"(B.)"&amp;E677</f>
        <v>(B.)航空器橫軸(Y軸)。</v>
      </c>
      <c r="D679" s="2"/>
      <c r="E679" s="2"/>
      <c r="F679" s="2"/>
      <c r="G679" s="2"/>
      <c r="H679" s="2"/>
      <c r="I679" s="2"/>
    </row>
    <row r="680" spans="1:9" s="3" customFormat="1" ht="15">
      <c r="A680" s="2"/>
      <c r="B680" s="2"/>
      <c r="C680" s="7" t="str">
        <f>"(C.)"&amp;F677</f>
        <v>(C.)航空器垂直軸(Z軸)。</v>
      </c>
      <c r="D680" s="2"/>
      <c r="E680" s="2"/>
      <c r="F680" s="2"/>
      <c r="G680" s="2"/>
      <c r="H680" s="2"/>
      <c r="I680" s="2"/>
    </row>
    <row r="681" spans="1:9" s="3" customFormat="1" ht="15">
      <c r="A681" s="2"/>
      <c r="B681" s="2"/>
      <c r="C681" s="7" t="str">
        <f>"(D.)"&amp;G677</f>
        <v>(D.)以上皆非。</v>
      </c>
      <c r="D681" s="2"/>
      <c r="E681" s="2"/>
      <c r="F681" s="2"/>
      <c r="G681" s="2"/>
      <c r="H681" s="2"/>
      <c r="I681" s="2"/>
    </row>
    <row r="682" spans="1:9" s="3" customFormat="1" ht="15">
      <c r="A682" s="2"/>
      <c r="B682" s="2"/>
      <c r="C682" s="7" t="str">
        <f>"答案是： "&amp;IF(H677="A.",C678,IF(H677="B.",C679,IF(H677="C.",C680,IF(H677=("D."),C681,"XXXX"))))</f>
        <v>答案是： (A.)航空器縱軸(X軸)。</v>
      </c>
      <c r="D682" s="2"/>
      <c r="E682" s="2"/>
      <c r="F682" s="2"/>
      <c r="G682" s="2"/>
      <c r="H682" s="2"/>
      <c r="I682" s="2"/>
    </row>
    <row r="683" spans="1:9" s="3" customFormat="1" ht="75">
      <c r="A683" s="2"/>
      <c r="B683" s="2"/>
      <c r="C683" s="7" t="str">
        <f>"說明："&amp;I677</f>
        <v>說明：由前往後穿過航空器的軸稱之為航空器縱軸（X軸）。這條軸線負責控制航空器的左右滾轉（Roll）。如需了解更多關於飛行力學與航空原理的資訊，可參考交通部民用航空局的遙控無人機學科規範或維基百科上的飛行操縱面介紹。</v>
      </c>
      <c r="D683" s="2"/>
      <c r="E683" s="2"/>
      <c r="F683" s="2"/>
      <c r="G683" s="2"/>
      <c r="H683" s="2"/>
      <c r="I683" s="2"/>
    </row>
    <row r="684" spans="1:9" s="3" customFormat="1" ht="75">
      <c r="A684" s="4" t="str">
        <f>dB題庫!A105</f>
        <v>104</v>
      </c>
      <c r="B684" s="4" t="str">
        <f>dB題庫!B105</f>
        <v>除了副翼,航空器的下列哪個組件對於航空器的滾轉也會有影響</v>
      </c>
      <c r="C684" s="4" t="str">
        <f>A684&amp;"."&amp;B684</f>
        <v>104.除了副翼,航空器的下列哪個組件對於航空器的滾轉也會有影響</v>
      </c>
      <c r="D684" s="4" t="str">
        <f>dB題庫!C105</f>
        <v>升降舵。</v>
      </c>
      <c r="E684" s="4" t="str">
        <f>dB題庫!D105</f>
        <v>襟翼。</v>
      </c>
      <c r="F684" s="4" t="str">
        <f>dB題庫!E105</f>
        <v>方向舵。</v>
      </c>
      <c r="G684" s="4" t="str">
        <f>dB題庫!F105</f>
        <v>小翼。</v>
      </c>
      <c r="H684" s="4" t="str">
        <f>dB題庫!G105</f>
        <v>C.</v>
      </c>
      <c r="I684" s="4" t="str">
        <f>dB題庫!H105</f>
        <v>正確答案是 (C.) 方向舵。因為航空器主要利用副翼來控制左右滾轉（Roll）。然而，當操作方向舵控制飛機偏航（Yaw，即左右轉向）時，會產生「滾轉偏航耦合」（Roll-Yaw Coupling）現象。當方向舵偏轉使飛機轉向時，外側機翼的速度會大於內側機翼。速度較快的外側機翼會產生較大的升力，進而導致飛機向轉彎內側傾斜（產生滾轉）。因此，方向舵對於航空器的滾轉也會有明顯影響。</v>
      </c>
    </row>
    <row r="685" spans="1:9" s="3" customFormat="1" ht="15">
      <c r="A685" s="2" t="s">
        <v>114</v>
      </c>
      <c r="B685" s="1"/>
      <c r="C685" s="7" t="str">
        <f>"(A.)"&amp;D684</f>
        <v>(A.)升降舵。</v>
      </c>
      <c r="D685" s="2"/>
      <c r="E685" s="2"/>
      <c r="F685" s="2"/>
      <c r="G685" s="2"/>
      <c r="H685" s="2"/>
      <c r="I685" s="2"/>
    </row>
    <row r="686" spans="1:9" s="3" customFormat="1" ht="15">
      <c r="A686" s="2"/>
      <c r="B686" s="1"/>
      <c r="C686" s="7" t="str">
        <f>"(B.)"&amp;E684</f>
        <v>(B.)襟翼。</v>
      </c>
      <c r="D686" s="2"/>
      <c r="E686" s="2"/>
      <c r="F686" s="2"/>
      <c r="G686" s="2"/>
      <c r="H686" s="2"/>
      <c r="I686" s="2"/>
    </row>
    <row r="687" spans="1:9" s="3" customFormat="1" ht="15">
      <c r="A687" s="2"/>
      <c r="B687" s="2"/>
      <c r="C687" s="7" t="str">
        <f>"(C.)"&amp;F684</f>
        <v>(C.)方向舵。</v>
      </c>
      <c r="D687" s="2"/>
      <c r="E687" s="2"/>
      <c r="F687" s="2"/>
      <c r="G687" s="2"/>
      <c r="H687" s="2"/>
      <c r="I687" s="2"/>
    </row>
    <row r="688" spans="1:9" s="3" customFormat="1" ht="15">
      <c r="A688" s="2"/>
      <c r="B688" s="2"/>
      <c r="C688" s="7" t="str">
        <f>"(D.)"&amp;G684</f>
        <v>(D.)小翼。</v>
      </c>
      <c r="D688" s="2"/>
      <c r="E688" s="2"/>
      <c r="F688" s="2"/>
      <c r="G688" s="2"/>
      <c r="H688" s="2"/>
      <c r="I688" s="2"/>
    </row>
    <row r="689" spans="1:9" s="3" customFormat="1" ht="15">
      <c r="A689" s="2"/>
      <c r="B689" s="2"/>
      <c r="C689" s="7" t="str">
        <f>"答案是： "&amp;IF(H684="A.",C685,IF(H684="B.",C686,IF(H684="C.",C687,IF(H684=("D."),C688,"XXXX"))))</f>
        <v>答案是： (C.)方向舵。</v>
      </c>
      <c r="D689" s="2"/>
      <c r="E689" s="2"/>
      <c r="F689" s="2"/>
      <c r="G689" s="2"/>
      <c r="H689" s="2"/>
      <c r="I689" s="2"/>
    </row>
    <row r="690" spans="1:9" s="3" customFormat="1" ht="135">
      <c r="A690" s="2"/>
      <c r="B690" s="2"/>
      <c r="C690" s="7" t="str">
        <f>"說明："&amp;I684</f>
        <v>說明：正確答案是 (C.) 方向舵。因為航空器主要利用副翼來控制左右滾轉（Roll）。然而，當操作方向舵控制飛機偏航（Yaw，即左右轉向）時，會產生「滾轉偏航耦合」（Roll-Yaw Coupling）現象。當方向舵偏轉使飛機轉向時，外側機翼的速度會大於內側機翼。速度較快的外側機翼會產生較大的升力，進而導致飛機向轉彎內側傾斜（產生滾轉）。因此，方向舵對於航空器的滾轉也會有明顯影響。</v>
      </c>
      <c r="D690" s="2"/>
      <c r="E690" s="2"/>
      <c r="F690" s="2"/>
      <c r="G690" s="2"/>
      <c r="H690" s="2"/>
      <c r="I690" s="2"/>
    </row>
    <row r="691" spans="1:9" s="3" customFormat="1" ht="75">
      <c r="A691" s="4" t="str">
        <f>dB題庫!A106</f>
        <v>105</v>
      </c>
      <c r="B691" s="4" t="str">
        <f>dB題庫!B106</f>
        <v>想像為一條上下兩面垂直地穿過航空器的軸,稱之為下列哪個軸</v>
      </c>
      <c r="C691" s="4" t="str">
        <f>A691&amp;"."&amp;B691</f>
        <v>105.想像為一條上下兩面垂直地穿過航空器的軸,稱之為下列哪個軸</v>
      </c>
      <c r="D691" s="4" t="str">
        <f>dB題庫!C106</f>
        <v>航空器垂直軸(Z軸)。</v>
      </c>
      <c r="E691" s="4" t="str">
        <f>dB題庫!D106</f>
        <v>航空器縱軸(X軸)。</v>
      </c>
      <c r="F691" s="4" t="str">
        <f>dB題庫!E106</f>
        <v>航空器橫軸(Y軸)。</v>
      </c>
      <c r="G691" s="4" t="str">
        <f>dB題庫!F106</f>
        <v>以上皆非。</v>
      </c>
      <c r="H691" s="4" t="str">
        <f>dB題庫!G106</f>
        <v>A.</v>
      </c>
      <c r="I691" s="4" t="str">
        <f>dB題庫!H106</f>
        <v>想像為一條上下兩面垂直地穿過航空器的軸，稱之為航空器垂直軸（Z軸）。航空器在三度空間中的運動主要圍繞這三條假想軸旋轉：垂直軸（Z軸）：上下垂直穿過，控制航空器的偏航（Yaw，左右機頭轉向）。縱軸（X軸）：由前至後穿過，控制航空器的滾轉（Roll，左右機翼傾斜）。橫軸（Y軸）：左右穿過翼尖，控制航空器的俯仰（Pitch，機頭上下擺動）。</v>
      </c>
    </row>
    <row r="692" spans="1:9" s="3" customFormat="1" ht="15">
      <c r="A692" s="2" t="s">
        <v>114</v>
      </c>
      <c r="B692" s="1"/>
      <c r="C692" s="7" t="str">
        <f>"(A.)"&amp;D691</f>
        <v>(A.)航空器垂直軸(Z軸)。</v>
      </c>
      <c r="D692" s="2"/>
      <c r="E692" s="2"/>
      <c r="F692" s="2"/>
      <c r="G692" s="2"/>
      <c r="H692" s="2"/>
      <c r="I692" s="2"/>
    </row>
    <row r="693" spans="1:9" s="3" customFormat="1" ht="15">
      <c r="A693" s="2"/>
      <c r="B693" s="1"/>
      <c r="C693" s="7" t="str">
        <f>"(B.)"&amp;E691</f>
        <v>(B.)航空器縱軸(X軸)。</v>
      </c>
      <c r="D693" s="2"/>
      <c r="E693" s="2"/>
      <c r="F693" s="2"/>
      <c r="G693" s="2"/>
      <c r="H693" s="2"/>
      <c r="I693" s="2"/>
    </row>
    <row r="694" spans="1:9" s="3" customFormat="1" ht="15">
      <c r="A694" s="2"/>
      <c r="B694" s="2"/>
      <c r="C694" s="7" t="str">
        <f>"(C.)"&amp;F691</f>
        <v>(C.)航空器橫軸(Y軸)。</v>
      </c>
      <c r="D694" s="2"/>
      <c r="E694" s="2"/>
      <c r="F694" s="2"/>
      <c r="G694" s="2"/>
      <c r="H694" s="2"/>
      <c r="I694" s="2"/>
    </row>
    <row r="695" spans="1:9" s="3" customFormat="1" ht="15">
      <c r="A695" s="2"/>
      <c r="B695" s="2"/>
      <c r="C695" s="7" t="str">
        <f>"(D.)"&amp;G691</f>
        <v>(D.)以上皆非。</v>
      </c>
      <c r="D695" s="2"/>
      <c r="E695" s="2"/>
      <c r="F695" s="2"/>
      <c r="G695" s="2"/>
      <c r="H695" s="2"/>
      <c r="I695" s="2"/>
    </row>
    <row r="696" spans="1:9" s="3" customFormat="1" ht="15">
      <c r="A696" s="2"/>
      <c r="B696" s="2"/>
      <c r="C696" s="7" t="str">
        <f>"答案是： "&amp;IF(H691="A.",C692,IF(H691="B.",C693,IF(H691="C.",C694,IF(H691=("D."),C695,"XXXX"))))</f>
        <v>答案是： (A.)航空器垂直軸(Z軸)。</v>
      </c>
      <c r="D696" s="2"/>
      <c r="E696" s="2"/>
      <c r="F696" s="2"/>
      <c r="G696" s="2"/>
      <c r="H696" s="2"/>
      <c r="I696" s="2"/>
    </row>
    <row r="697" spans="1:9" s="3" customFormat="1" ht="120">
      <c r="A697" s="2"/>
      <c r="B697" s="2"/>
      <c r="C697" s="7" t="str">
        <f>"說明："&amp;I691</f>
        <v>說明：想像為一條上下兩面垂直地穿過航空器的軸，稱之為航空器垂直軸（Z軸）。航空器在三度空間中的運動主要圍繞這三條假想軸旋轉：垂直軸（Z軸）：上下垂直穿過，控制航空器的偏航（Yaw，左右機頭轉向）。縱軸（X軸）：由前至後穿過，控制航空器的滾轉（Roll，左右機翼傾斜）。橫軸（Y軸）：左右穿過翼尖，控制航空器的俯仰（Pitch，機頭上下擺動）。</v>
      </c>
      <c r="D697" s="2"/>
      <c r="E697" s="2"/>
      <c r="F697" s="2"/>
      <c r="G697" s="2"/>
      <c r="H697" s="2"/>
      <c r="I697" s="2"/>
    </row>
    <row r="698" spans="1:9" s="3" customFormat="1" ht="105">
      <c r="A698" s="4" t="str">
        <f>dB題庫!A107</f>
        <v>106</v>
      </c>
      <c r="B698" s="4" t="str">
        <f>dB題庫!B107</f>
        <v>關於遙控無人機的的操作原理,我們首要了解遙控無人飛機的下列哪種特性</v>
      </c>
      <c r="C698" s="4" t="str">
        <f>A698&amp;"."&amp;B698</f>
        <v>106.關於遙控無人機的的操作原理,我們首要了解遙控無人飛機的下列哪種特性</v>
      </c>
      <c r="D698" s="4" t="str">
        <f>dB題庫!C107</f>
        <v>平衡性。</v>
      </c>
      <c r="E698" s="4" t="str">
        <f>dB題庫!D107</f>
        <v>穩定性。</v>
      </c>
      <c r="F698" s="4" t="str">
        <f>dB題庫!E107</f>
        <v>操縱性。</v>
      </c>
      <c r="G698" s="4" t="str">
        <f>dB題庫!F107</f>
        <v>以上皆是。</v>
      </c>
      <c r="H698" s="4" t="str">
        <f>dB題庫!G107</f>
        <v>D.</v>
      </c>
      <c r="I698" s="4" t="str">
        <f>dB題庫!H107</f>
        <v>了解遙控無人機的操作原理時，我們首要必須了解無人機的操縱性（Controllability）。操縱性是指無人機在操作人控制升降舵、方向舵和副翼時，改變飛行狀態（如俯仰、滾轉與偏航）的特性。這關係到飛機能否確實執行起飛、降落、轉彎等動作，是實現安全飛行的最基礎關鍵。若要全面掌握飛行原理，通常還需搭配另外兩大核心特性：平衡性：指飛行器在特定狀態下（如速度、方向不變），無外力干擾時的穩定狀態。穩定性：指無人機受到外力干擾（如陣風）偏離平衡後，能自動恢復原狀的能力。</v>
      </c>
    </row>
    <row r="699" spans="1:9" s="3" customFormat="1" ht="15">
      <c r="A699" s="2" t="s">
        <v>114</v>
      </c>
      <c r="B699" s="1"/>
      <c r="C699" s="7" t="str">
        <f>"(A.)"&amp;D698</f>
        <v>(A.)平衡性。</v>
      </c>
      <c r="D699" s="2"/>
      <c r="E699" s="2"/>
      <c r="F699" s="2"/>
      <c r="G699" s="2"/>
      <c r="H699" s="2"/>
      <c r="I699" s="2"/>
    </row>
    <row r="700" spans="1:9" s="3" customFormat="1" ht="15">
      <c r="A700" s="2"/>
      <c r="B700" s="1"/>
      <c r="C700" s="7" t="str">
        <f>"(B.)"&amp;E698</f>
        <v>(B.)穩定性。</v>
      </c>
      <c r="D700" s="2"/>
      <c r="E700" s="2"/>
      <c r="F700" s="2"/>
      <c r="G700" s="2"/>
      <c r="H700" s="2"/>
      <c r="I700" s="2"/>
    </row>
    <row r="701" spans="1:9" s="3" customFormat="1" ht="15">
      <c r="A701" s="2"/>
      <c r="B701" s="2"/>
      <c r="C701" s="7" t="str">
        <f>"(C.)"&amp;F698</f>
        <v>(C.)操縱性。</v>
      </c>
      <c r="D701" s="2"/>
      <c r="E701" s="2"/>
      <c r="F701" s="2"/>
      <c r="G701" s="2"/>
      <c r="H701" s="2"/>
      <c r="I701" s="2"/>
    </row>
    <row r="702" spans="1:9" s="3" customFormat="1" ht="15">
      <c r="A702" s="2"/>
      <c r="B702" s="2"/>
      <c r="C702" s="7" t="str">
        <f>"(D.)"&amp;G698</f>
        <v>(D.)以上皆是。</v>
      </c>
      <c r="D702" s="2"/>
      <c r="E702" s="2"/>
      <c r="F702" s="2"/>
      <c r="G702" s="2"/>
      <c r="H702" s="2"/>
      <c r="I702" s="2"/>
    </row>
    <row r="703" spans="1:9" s="3" customFormat="1" ht="15">
      <c r="A703" s="2"/>
      <c r="B703" s="2"/>
      <c r="C703" s="7" t="str">
        <f>"答案是： "&amp;IF(H698="A.",C699,IF(H698="B.",C700,IF(H698="C.",C701,IF(H698=("D."),C702,"XXXX"))))</f>
        <v>答案是： (D.)以上皆是。</v>
      </c>
      <c r="D703" s="2"/>
      <c r="E703" s="2"/>
      <c r="F703" s="2"/>
      <c r="G703" s="2"/>
      <c r="H703" s="2"/>
      <c r="I703" s="2"/>
    </row>
    <row r="704" spans="1:9" s="3" customFormat="1" ht="165">
      <c r="A704" s="2"/>
      <c r="B704" s="2"/>
      <c r="C704" s="7" t="str">
        <f>"說明："&amp;I698</f>
        <v>說明：了解遙控無人機的操作原理時，我們首要必須了解無人機的操縱性（Controllability）。操縱性是指無人機在操作人控制升降舵、方向舵和副翼時，改變飛行狀態（如俯仰、滾轉與偏航）的特性。這關係到飛機能否確實執行起飛、降落、轉彎等動作，是實現安全飛行的最基礎關鍵。若要全面掌握飛行原理，通常還需搭配另外兩大核心特性：平衡性：指飛行器在特定狀態下（如速度、方向不變），無外力干擾時的穩定狀態。穩定性：指無人機受到外力干擾（如陣風）偏離平衡後，能自動恢復原狀的能力。</v>
      </c>
      <c r="D704" s="2"/>
      <c r="E704" s="2"/>
      <c r="F704" s="2"/>
      <c r="G704" s="2"/>
      <c r="H704" s="2"/>
      <c r="I704" s="2"/>
    </row>
    <row r="705" spans="1:9" s="3" customFormat="1" ht="75">
      <c r="A705" s="4" t="str">
        <f>dB題庫!A108</f>
        <v>107</v>
      </c>
      <c r="B705" s="4" t="str">
        <f>dB題庫!B108</f>
        <v>遙控無人機處於平衡狀態時,是表示下列哪種狀況</v>
      </c>
      <c r="C705" s="4" t="str">
        <f>A705&amp;"."&amp;B705</f>
        <v>107.遙控無人機處於平衡狀態時,是表示下列哪種狀況</v>
      </c>
      <c r="D705" s="4" t="str">
        <f>dB題庫!C108</f>
        <v>其速度的大小和方向都保持不變。</v>
      </c>
      <c r="E705" s="4" t="str">
        <f>dB題庫!D108</f>
        <v>其發動機的轉速和馬力都保持不變.</v>
      </c>
      <c r="F705" s="4" t="str">
        <f>dB題庫!E108</f>
        <v>其所有翼面的角度和方向都保持不變。</v>
      </c>
      <c r="G705" s="4" t="str">
        <f>dB題庫!F108</f>
        <v>其酬載的方向和功能都保持不變。</v>
      </c>
      <c r="H705" s="4" t="str">
        <f>dB題庫!G108</f>
        <v>A.</v>
      </c>
      <c r="I705" s="4" t="str">
        <f>dB題庫!H108</f>
        <v>遙控無人機處於平衡狀態時，是指其速度的大小和方向都保持不變（對應一般考試選項中的 A.）。這代表作用在無人機身上的所有外力和小力矩加起來都等於零。平衡狀態重點外力與力矩：機身受到的所有外力與力矩都互相抵銷（合力與合力矩為零）。飛行表現：飛機沒有加速、減速或改變飛行方向，呈現等速直線運動或等速平飛。</v>
      </c>
    </row>
    <row r="706" spans="1:9" s="3" customFormat="1" ht="15">
      <c r="A706" s="2" t="s">
        <v>114</v>
      </c>
      <c r="B706" s="1"/>
      <c r="C706" s="7" t="str">
        <f>"(A.)"&amp;D705</f>
        <v>(A.)其速度的大小和方向都保持不變。</v>
      </c>
      <c r="D706" s="2"/>
      <c r="E706" s="2"/>
      <c r="F706" s="2"/>
      <c r="G706" s="2"/>
      <c r="H706" s="2"/>
      <c r="I706" s="2"/>
    </row>
    <row r="707" spans="1:9" s="3" customFormat="1" ht="15">
      <c r="A707" s="2"/>
      <c r="B707" s="1"/>
      <c r="C707" s="7" t="str">
        <f>"(B.)"&amp;E705</f>
        <v>(B.)其發動機的轉速和馬力都保持不變.</v>
      </c>
      <c r="D707" s="2"/>
      <c r="E707" s="2"/>
      <c r="F707" s="2"/>
      <c r="G707" s="2"/>
      <c r="H707" s="2"/>
      <c r="I707" s="2"/>
    </row>
    <row r="708" spans="1:9" s="3" customFormat="1" ht="15">
      <c r="A708" s="2"/>
      <c r="B708" s="2"/>
      <c r="C708" s="7" t="str">
        <f>"(C.)"&amp;F705</f>
        <v>(C.)其所有翼面的角度和方向都保持不變。</v>
      </c>
      <c r="D708" s="2"/>
      <c r="E708" s="2"/>
      <c r="F708" s="2"/>
      <c r="G708" s="2"/>
      <c r="H708" s="2"/>
      <c r="I708" s="2"/>
    </row>
    <row r="709" spans="1:9" s="3" customFormat="1" ht="15">
      <c r="A709" s="2"/>
      <c r="B709" s="2"/>
      <c r="C709" s="7" t="str">
        <f>"(D.)"&amp;G705</f>
        <v>(D.)其酬載的方向和功能都保持不變。</v>
      </c>
      <c r="D709" s="2"/>
      <c r="E709" s="2"/>
      <c r="F709" s="2"/>
      <c r="G709" s="2"/>
      <c r="H709" s="2"/>
      <c r="I709" s="2"/>
    </row>
    <row r="710" spans="1:9" s="3" customFormat="1" ht="15">
      <c r="A710" s="2"/>
      <c r="B710" s="2"/>
      <c r="C710" s="7" t="str">
        <f>"答案是： "&amp;IF(H705="A.",C706,IF(H705="B.",C707,IF(H705="C.",C708,IF(H705=("D."),C709,"XXXX"))))</f>
        <v>答案是： (A.)其速度的大小和方向都保持不變。</v>
      </c>
      <c r="D710" s="2"/>
      <c r="E710" s="2"/>
      <c r="F710" s="2"/>
      <c r="G710" s="2"/>
      <c r="H710" s="2"/>
      <c r="I710" s="2"/>
    </row>
    <row r="711" spans="1:9" s="3" customFormat="1" ht="120">
      <c r="A711" s="2"/>
      <c r="B711" s="2"/>
      <c r="C711" s="7" t="str">
        <f>"說明："&amp;I705</f>
        <v>說明：遙控無人機處於平衡狀態時，是指其速度的大小和方向都保持不變（對應一般考試選項中的 A.）。這代表作用在無人機身上的所有外力和小力矩加起來都等於零。平衡狀態重點外力與力矩：機身受到的所有外力與力矩都互相抵銷（合力與合力矩為零）。飛行表現：飛機沒有加速、減速或改變飛行方向，呈現等速直線運動或等速平飛。</v>
      </c>
      <c r="D711" s="2"/>
      <c r="E711" s="2"/>
      <c r="F711" s="2"/>
      <c r="G711" s="2"/>
      <c r="H711" s="2"/>
      <c r="I711" s="2"/>
    </row>
    <row r="712" spans="1:9" s="3" customFormat="1" ht="75">
      <c r="A712" s="4" t="str">
        <f>dB題庫!A109</f>
        <v>108</v>
      </c>
      <c r="B712" s="4" t="str">
        <f>dB題庫!B109</f>
        <v>遙控無人機穩定性的強弱,一般由下列哪個現象來衡量</v>
      </c>
      <c r="C712" s="4" t="str">
        <f>A712&amp;"."&amp;B712</f>
        <v>108.遙控無人機穩定性的強弱,一般由下列哪個現象來衡量</v>
      </c>
      <c r="D712" s="4" t="str">
        <f>dB題庫!C109</f>
        <v>擺動衰減時間。</v>
      </c>
      <c r="E712" s="4" t="str">
        <f>dB題庫!D109</f>
        <v>擺動幅度。</v>
      </c>
      <c r="F712" s="4" t="str">
        <f>dB題庫!E109</f>
        <v>擺動次數。</v>
      </c>
      <c r="G712" s="4" t="str">
        <f>dB題庫!F109</f>
        <v>以上皆是。</v>
      </c>
      <c r="H712" s="4" t="str">
        <f>dB題庫!G109</f>
        <v>D.</v>
      </c>
      <c r="I712" s="4" t="str">
        <f>dB題庫!H109</f>
        <v>遙控無人機穩定性的強弱，一般由(D.) 以上皆是（包含擺動衰減時間、擺動幅度、擺動次數）來衡量。當無人機受到外力干擾後，恢復平衡的速度越快、晃動的大小越小、晃動的次數越少，代表穩定性越強。衡量穩定性的三大指標擺動衰減時間：受擾動後恢復平衡的時間長短。擺動幅度：受擾動時晃動偏離的大小心情。擺動次數：受擾動後來回晃動的總次數。</v>
      </c>
    </row>
    <row r="713" spans="1:9" s="3" customFormat="1" ht="15">
      <c r="A713" s="2" t="s">
        <v>114</v>
      </c>
      <c r="B713" s="1"/>
      <c r="C713" s="7" t="str">
        <f>"(A.)"&amp;D712</f>
        <v>(A.)擺動衰減時間。</v>
      </c>
      <c r="D713" s="2"/>
      <c r="E713" s="2"/>
      <c r="F713" s="2"/>
      <c r="G713" s="2"/>
      <c r="H713" s="2"/>
      <c r="I713" s="2"/>
    </row>
    <row r="714" spans="1:9" s="3" customFormat="1" ht="15">
      <c r="A714" s="2"/>
      <c r="B714" s="1"/>
      <c r="C714" s="7" t="str">
        <f>"(B.)"&amp;E712</f>
        <v>(B.)擺動幅度。</v>
      </c>
      <c r="D714" s="2"/>
      <c r="E714" s="2"/>
      <c r="F714" s="2"/>
      <c r="G714" s="2"/>
      <c r="H714" s="2"/>
      <c r="I714" s="2"/>
    </row>
    <row r="715" spans="1:9" s="3" customFormat="1" ht="15">
      <c r="A715" s="2"/>
      <c r="B715" s="2"/>
      <c r="C715" s="7" t="str">
        <f>"(C.)"&amp;F712</f>
        <v>(C.)擺動次數。</v>
      </c>
      <c r="D715" s="2"/>
      <c r="E715" s="2"/>
      <c r="F715" s="2"/>
      <c r="G715" s="2"/>
      <c r="H715" s="2"/>
      <c r="I715" s="2"/>
    </row>
    <row r="716" spans="1:9" s="3" customFormat="1" ht="15">
      <c r="A716" s="2"/>
      <c r="B716" s="2"/>
      <c r="C716" s="7" t="str">
        <f>"(D.)"&amp;G712</f>
        <v>(D.)以上皆是。</v>
      </c>
      <c r="D716" s="2"/>
      <c r="E716" s="2"/>
      <c r="F716" s="2"/>
      <c r="G716" s="2"/>
      <c r="H716" s="2"/>
      <c r="I716" s="2"/>
    </row>
    <row r="717" spans="1:9" s="3" customFormat="1" ht="15">
      <c r="A717" s="2"/>
      <c r="B717" s="2"/>
      <c r="C717" s="7" t="str">
        <f>"答案是： "&amp;IF(H712="A.",C713,IF(H712="B.",C714,IF(H712="C.",C715,IF(H712=("D."),C716,"XXXX"))))</f>
        <v>答案是： (D.)以上皆是。</v>
      </c>
      <c r="D717" s="2"/>
      <c r="E717" s="2"/>
      <c r="F717" s="2"/>
      <c r="G717" s="2"/>
      <c r="H717" s="2"/>
      <c r="I717" s="2"/>
    </row>
    <row r="718" spans="1:9" s="3" customFormat="1" ht="120">
      <c r="A718" s="2"/>
      <c r="B718" s="2"/>
      <c r="C718" s="7" t="str">
        <f>"說明："&amp;I712</f>
        <v>說明：遙控無人機穩定性的強弱，一般由(D.) 以上皆是（包含擺動衰減時間、擺動幅度、擺動次數）來衡量。當無人機受到外力干擾後，恢復平衡的速度越快、晃動的大小越小、晃動的次數越少，代表穩定性越強。衡量穩定性的三大指標擺動衰減時間：受擾動後恢復平衡的時間長短。擺動幅度：受擾動時晃動偏離的大小心情。擺動次數：受擾動後來回晃動的總次數。</v>
      </c>
      <c r="D718" s="2"/>
      <c r="E718" s="2"/>
      <c r="F718" s="2"/>
      <c r="G718" s="2"/>
      <c r="H718" s="2"/>
      <c r="I718" s="2"/>
    </row>
    <row r="719" spans="1:9" s="3" customFormat="1" ht="90">
      <c r="A719" s="4" t="str">
        <f>dB題庫!A110</f>
        <v>109</v>
      </c>
      <c r="B719" s="4" t="str">
        <f>dB題庫!B110</f>
        <v>遙控無人機的穩定性強,表示下列哪個現象</v>
      </c>
      <c r="C719" s="4" t="str">
        <f>A719&amp;"."&amp;B719</f>
        <v>109.遙控無人機的穩定性強,表示下列哪個現象</v>
      </c>
      <c r="D719" s="4" t="str">
        <f>dB題庫!C110</f>
        <v>擺動衰減時間短。</v>
      </c>
      <c r="E719" s="4" t="str">
        <f>dB題庫!D110</f>
        <v>擺動幅度小。</v>
      </c>
      <c r="F719" s="4" t="str">
        <f>dB題庫!E110</f>
        <v>擺動次數少。</v>
      </c>
      <c r="G719" s="4" t="str">
        <f>dB題庫!F110</f>
        <v>以上皆是。</v>
      </c>
      <c r="H719" s="4" t="str">
        <f>dB題庫!G110</f>
        <v>D.</v>
      </c>
      <c r="I719" s="4" t="str">
        <f>dB題庫!H110</f>
        <v>遙控無人機的穩定性強，表示受到擾動後擺動衰減時間短、擺動幅度小及擺動次數少（通常在民航局學科題庫中對應「以上皆是」或綜合現象）。當無人機在空中遇到氣流等干擾而偏離平衡時，能更快、更平穩地回到原本的狀態。穩定性衡量指標擺動衰減時間短：受干擾後，機身停止晃動並恢復平衡的時間很短。擺動幅度小：晃動時偏離原本飛行姿態的角度與距離很小。擺動次數少：來回擺動的頻率與次數顯著減少。</v>
      </c>
    </row>
    <row r="720" spans="1:9" s="3" customFormat="1" ht="15">
      <c r="A720" s="2" t="s">
        <v>114</v>
      </c>
      <c r="B720" s="1"/>
      <c r="C720" s="7" t="str">
        <f>"(A.)"&amp;D719</f>
        <v>(A.)擺動衰減時間短。</v>
      </c>
      <c r="D720" s="2"/>
      <c r="E720" s="2"/>
      <c r="F720" s="2"/>
      <c r="G720" s="2"/>
      <c r="H720" s="2"/>
      <c r="I720" s="2"/>
    </row>
    <row r="721" spans="1:9" s="3" customFormat="1" ht="15">
      <c r="A721" s="2"/>
      <c r="B721" s="1"/>
      <c r="C721" s="7" t="str">
        <f>"(B.)"&amp;E719</f>
        <v>(B.)擺動幅度小。</v>
      </c>
      <c r="D721" s="2"/>
      <c r="E721" s="2"/>
      <c r="F721" s="2"/>
      <c r="G721" s="2"/>
      <c r="H721" s="2"/>
      <c r="I721" s="2"/>
    </row>
    <row r="722" spans="1:9" s="3" customFormat="1" ht="15">
      <c r="A722" s="2"/>
      <c r="B722" s="2"/>
      <c r="C722" s="7" t="str">
        <f>"(C.)"&amp;F719</f>
        <v>(C.)擺動次數少。</v>
      </c>
      <c r="D722" s="2"/>
      <c r="E722" s="2"/>
      <c r="F722" s="2"/>
      <c r="G722" s="2"/>
      <c r="H722" s="2"/>
      <c r="I722" s="2"/>
    </row>
    <row r="723" spans="1:9" s="3" customFormat="1" ht="15">
      <c r="A723" s="2"/>
      <c r="B723" s="2"/>
      <c r="C723" s="7" t="str">
        <f>"(D.)"&amp;G719</f>
        <v>(D.)以上皆是。</v>
      </c>
      <c r="D723" s="2"/>
      <c r="E723" s="2"/>
      <c r="F723" s="2"/>
      <c r="G723" s="2"/>
      <c r="H723" s="2"/>
      <c r="I723" s="2"/>
    </row>
    <row r="724" spans="1:9" s="3" customFormat="1" ht="15">
      <c r="A724" s="2"/>
      <c r="B724" s="2"/>
      <c r="C724" s="7" t="str">
        <f>"答案是： "&amp;IF(H719="A.",C720,IF(H719="B.",C721,IF(H719="C.",C722,IF(H719=("D."),C723,"XXXX"))))</f>
        <v>答案是： (D.)以上皆是。</v>
      </c>
      <c r="D724" s="2"/>
      <c r="E724" s="2"/>
      <c r="F724" s="2"/>
      <c r="G724" s="2"/>
      <c r="H724" s="2"/>
      <c r="I724" s="2"/>
    </row>
    <row r="725" spans="1:9" s="3" customFormat="1" ht="135">
      <c r="A725" s="2"/>
      <c r="B725" s="2"/>
      <c r="C725" s="7" t="str">
        <f>"說明："&amp;I719</f>
        <v>說明：遙控無人機的穩定性強，表示受到擾動後擺動衰減時間短、擺動幅度小及擺動次數少（通常在民航局學科題庫中對應「以上皆是」或綜合現象）。當無人機在空中遇到氣流等干擾而偏離平衡時，能更快、更平穩地回到原本的狀態。穩定性衡量指標擺動衰減時間短：受干擾後，機身停止晃動並恢復平衡的時間很短。擺動幅度小：晃動時偏離原本飛行姿態的角度與距離很小。擺動次數少：來回擺動的頻率與次數顯著減少。</v>
      </c>
      <c r="D725" s="2"/>
      <c r="E725" s="2"/>
      <c r="F725" s="2"/>
      <c r="G725" s="2"/>
      <c r="H725" s="2"/>
      <c r="I725" s="2"/>
    </row>
    <row r="726" spans="1:9" s="3" customFormat="1" ht="45">
      <c r="A726" s="4" t="str">
        <f>dB題庫!A111</f>
        <v>110</v>
      </c>
      <c r="B726" s="4" t="str">
        <f>dB題庫!B111</f>
        <v>遙控無人機穩定性的強弱,主要取決於遙控無人機的下列哪個特性</v>
      </c>
      <c r="C726" s="4" t="str">
        <f>A726&amp;"."&amp;B726</f>
        <v>110.遙控無人機穩定性的強弱,主要取決於遙控無人機的下列哪個特性</v>
      </c>
      <c r="D726" s="4" t="str">
        <f>dB題庫!C111</f>
        <v>重心位置。</v>
      </c>
      <c r="E726" s="4" t="str">
        <f>dB題庫!D111</f>
        <v>飛行速度和高度。</v>
      </c>
      <c r="F726" s="4" t="str">
        <f>dB題庫!E111</f>
        <v>攻角的變化。</v>
      </c>
      <c r="G726" s="4" t="str">
        <f>dB題庫!F111</f>
        <v>以上皆是。</v>
      </c>
      <c r="H726" s="4" t="str">
        <f>dB題庫!G111</f>
        <v>D.</v>
      </c>
      <c r="I726" s="4" t="str">
        <f>dB題庫!H111</f>
        <v>遙控無人機穩定性的強弱，主要取決於無人機的重心位置、飛行速度、飛行高度以及攻角的變化。當這些空氣動力學與物理特性配合得當時，無人機在受到外力擾動後，才能不經人為操作自動恢復原來的平衡狀態。</v>
      </c>
    </row>
    <row r="727" spans="1:9" s="3" customFormat="1" ht="15">
      <c r="A727" s="2" t="s">
        <v>114</v>
      </c>
      <c r="B727" s="1"/>
      <c r="C727" s="7" t="str">
        <f>"(A.)"&amp;D726</f>
        <v>(A.)重心位置。</v>
      </c>
      <c r="D727" s="2"/>
      <c r="E727" s="2"/>
      <c r="F727" s="2"/>
      <c r="G727" s="2"/>
      <c r="H727" s="2"/>
      <c r="I727" s="2"/>
    </row>
    <row r="728" spans="1:9" s="3" customFormat="1" ht="15">
      <c r="A728" s="2"/>
      <c r="B728" s="1"/>
      <c r="C728" s="7" t="str">
        <f>"(B.)"&amp;E726</f>
        <v>(B.)飛行速度和高度。</v>
      </c>
      <c r="D728" s="2"/>
      <c r="E728" s="2"/>
      <c r="F728" s="2"/>
      <c r="G728" s="2"/>
      <c r="H728" s="2"/>
      <c r="I728" s="2"/>
    </row>
    <row r="729" spans="1:9" s="3" customFormat="1" ht="15">
      <c r="A729" s="2"/>
      <c r="B729" s="2"/>
      <c r="C729" s="7" t="str">
        <f>"(C.)"&amp;F726</f>
        <v>(C.)攻角的變化。</v>
      </c>
      <c r="D729" s="2"/>
      <c r="E729" s="2"/>
      <c r="F729" s="2"/>
      <c r="G729" s="2"/>
      <c r="H729" s="2"/>
      <c r="I729" s="2"/>
    </row>
    <row r="730" spans="1:9" s="3" customFormat="1" ht="15">
      <c r="A730" s="2"/>
      <c r="B730" s="2"/>
      <c r="C730" s="7" t="str">
        <f>"(D.)"&amp;G726</f>
        <v>(D.)以上皆是。</v>
      </c>
      <c r="D730" s="2"/>
      <c r="E730" s="2"/>
      <c r="F730" s="2"/>
      <c r="G730" s="2"/>
      <c r="H730" s="2"/>
      <c r="I730" s="2"/>
    </row>
    <row r="731" spans="1:9" s="3" customFormat="1" ht="15">
      <c r="A731" s="2"/>
      <c r="B731" s="2"/>
      <c r="C731" s="7" t="str">
        <f>"答案是： "&amp;IF(H726="A.",C727,IF(H726="B.",C728,IF(H726="C.",C729,IF(H726=("D."),C730,"XXXX"))))</f>
        <v>答案是： (D.)以上皆是。</v>
      </c>
      <c r="D731" s="2"/>
      <c r="E731" s="2"/>
      <c r="F731" s="2"/>
      <c r="G731" s="2"/>
      <c r="H731" s="2"/>
      <c r="I731" s="2"/>
    </row>
    <row r="732" spans="1:9" s="3" customFormat="1" ht="75">
      <c r="A732" s="2"/>
      <c r="B732" s="2"/>
      <c r="C732" s="7" t="str">
        <f>"說明："&amp;I726</f>
        <v>說明：遙控無人機穩定性的強弱，主要取決於無人機的重心位置、飛行速度、飛行高度以及攻角的變化。當這些空氣動力學與物理特性配合得當時，無人機在受到外力擾動後，才能不經人為操作自動恢復原來的平衡狀態。</v>
      </c>
      <c r="D732" s="2"/>
      <c r="E732" s="2"/>
      <c r="F732" s="2"/>
      <c r="G732" s="2"/>
      <c r="H732" s="2"/>
      <c r="I732" s="2"/>
    </row>
    <row r="733" spans="1:9" s="3" customFormat="1" ht="45">
      <c r="A733" s="4" t="str">
        <f>dB題庫!A112</f>
        <v>111</v>
      </c>
      <c r="B733" s="4" t="str">
        <f>dB題庫!B112</f>
        <v>遙控無人機在操作人操縱升降舵、方向舵和副翼下改變其飛行狀態的俯仰、方向和橫向之特性,是指遙控無人機的下列哪種特性</v>
      </c>
      <c r="C733" s="4" t="str">
        <f>A733&amp;"."&amp;B733</f>
        <v>111.遙控無人機在操作人操縱升降舵、方向舵和副翼下改變其飛行狀態的俯仰、方向和橫向之特性,是指遙控無人機的下列哪種特性</v>
      </c>
      <c r="D733" s="4" t="str">
        <f>dB題庫!C112</f>
        <v>操縱性。</v>
      </c>
      <c r="E733" s="4" t="str">
        <f>dB題庫!D112</f>
        <v>平衡性。</v>
      </c>
      <c r="F733" s="4" t="str">
        <f>dB題庫!E112</f>
        <v>穩定性。</v>
      </c>
      <c r="G733" s="4" t="str">
        <f>dB題庫!F112</f>
        <v>以上皆非。</v>
      </c>
      <c r="H733" s="4" t="str">
        <f>dB題庫!G112</f>
        <v>A.</v>
      </c>
      <c r="I733" s="4" t="str">
        <f>dB題庫!H112</f>
        <v>操縱副翼(Ailerons)可以改變左右機翼的升力差，進而使無人機圍繞縱軸(X軸)產生滾轉(Roll)動作。</v>
      </c>
    </row>
    <row r="734" spans="1:9" s="3" customFormat="1" ht="15">
      <c r="A734" s="2" t="s">
        <v>114</v>
      </c>
      <c r="B734" s="1"/>
      <c r="C734" s="7" t="str">
        <f>"(A.)"&amp;D733</f>
        <v>(A.)操縱性。</v>
      </c>
      <c r="D734" s="2"/>
      <c r="E734" s="2"/>
      <c r="F734" s="2"/>
      <c r="G734" s="2"/>
      <c r="H734" s="2"/>
      <c r="I734" s="2"/>
    </row>
    <row r="735" spans="1:9" s="3" customFormat="1" ht="15">
      <c r="A735" s="2"/>
      <c r="B735" s="1"/>
      <c r="C735" s="7" t="str">
        <f>"(B.)"&amp;E733</f>
        <v>(B.)平衡性。</v>
      </c>
      <c r="D735" s="2"/>
      <c r="E735" s="2"/>
      <c r="F735" s="2"/>
      <c r="G735" s="2"/>
      <c r="H735" s="2"/>
      <c r="I735" s="2"/>
    </row>
    <row r="736" spans="1:9" s="3" customFormat="1" ht="15">
      <c r="A736" s="2"/>
      <c r="B736" s="2"/>
      <c r="C736" s="7" t="str">
        <f>"(C.)"&amp;F733</f>
        <v>(C.)穩定性。</v>
      </c>
      <c r="D736" s="2"/>
      <c r="E736" s="2"/>
      <c r="F736" s="2"/>
      <c r="G736" s="2"/>
      <c r="H736" s="2"/>
      <c r="I736" s="2"/>
    </row>
    <row r="737" spans="1:9" s="3" customFormat="1" ht="15">
      <c r="A737" s="2"/>
      <c r="B737" s="2"/>
      <c r="C737" s="7" t="str">
        <f>"(D.)"&amp;G733</f>
        <v>(D.)以上皆非。</v>
      </c>
      <c r="D737" s="2"/>
      <c r="E737" s="2"/>
      <c r="F737" s="2"/>
      <c r="G737" s="2"/>
      <c r="H737" s="2"/>
      <c r="I737" s="2"/>
    </row>
    <row r="738" spans="1:9" s="3" customFormat="1" ht="15">
      <c r="A738" s="2"/>
      <c r="B738" s="2"/>
      <c r="C738" s="7" t="str">
        <f>"答案是： "&amp;IF(H733="A.",C734,IF(H733="B.",C735,IF(H733="C.",C736,IF(H733=("D."),C737,"XXXX"))))</f>
        <v>答案是： (A.)操縱性。</v>
      </c>
      <c r="D738" s="2"/>
      <c r="E738" s="2"/>
      <c r="F738" s="2"/>
      <c r="G738" s="2"/>
      <c r="H738" s="2"/>
      <c r="I738" s="2"/>
    </row>
    <row r="739" spans="1:9" s="3" customFormat="1" ht="45">
      <c r="A739" s="2"/>
      <c r="B739" s="2"/>
      <c r="C739" s="7" t="str">
        <f>"說明："&amp;I733</f>
        <v>說明：操縱副翼(Ailerons)可以改變左右機翼的升力差，進而使無人機圍繞縱軸(X軸)產生滾轉(Roll)動作。</v>
      </c>
      <c r="D739" s="2"/>
      <c r="E739" s="2"/>
      <c r="F739" s="2"/>
      <c r="G739" s="2"/>
      <c r="H739" s="2"/>
      <c r="I739" s="2"/>
    </row>
    <row r="740" spans="1:9" s="3" customFormat="1" ht="90">
      <c r="A740" s="4" t="str">
        <f>dB題庫!A113</f>
        <v>112</v>
      </c>
      <c r="B740" s="4" t="str">
        <f>dB題庫!B113</f>
        <v>遙控無人機操縱性好,表示下列哪個現象</v>
      </c>
      <c r="C740" s="4" t="str">
        <f>A740&amp;"."&amp;B740</f>
        <v>112.遙控無人機操縱性好,表示下列哪個現象</v>
      </c>
      <c r="D740" s="4" t="str">
        <f>dB題庫!C113</f>
        <v>操縱動作簡單。</v>
      </c>
      <c r="E740" s="4" t="str">
        <f>dB題庫!D113</f>
        <v>操縱省力。</v>
      </c>
      <c r="F740" s="4" t="str">
        <f>dB題庫!E113</f>
        <v>操縱反應快。</v>
      </c>
      <c r="G740" s="4" t="str">
        <f>dB題庫!F113</f>
        <v>以上皆是。</v>
      </c>
      <c r="H740" s="4" t="str">
        <f>dB題庫!G113</f>
        <v>D.</v>
      </c>
      <c r="I740" s="4" t="str">
        <f>dB題庫!H113</f>
        <v>此題考查基礎空氣動力學與無人機系統設計規範。無人機之重量與重心平衡(W&amp;B)是確保飛航安全與操作性能符合原廠諸元的核心關鍵，飛行前操作人必須精確掌握並確認其皆處於安全審慎的合理限制內。
《》遙控無人機操縱性好，表示該機具有操縱動作簡單、操縱省力，以及飛機反應快的現象。當這些特性表現良好時，代表飛機能迅速且輕鬆地回應操作者的控制指令，執行俯仰、方向和橫向等飛行狀態的改變。</v>
      </c>
    </row>
    <row r="741" spans="1:9" s="3" customFormat="1" ht="15">
      <c r="A741" s="2" t="s">
        <v>114</v>
      </c>
      <c r="B741" s="1"/>
      <c r="C741" s="7" t="str">
        <f>"(A.)"&amp;D740</f>
        <v>(A.)操縱動作簡單。</v>
      </c>
      <c r="D741" s="2"/>
      <c r="E741" s="2"/>
      <c r="F741" s="2"/>
      <c r="G741" s="2"/>
      <c r="H741" s="2"/>
      <c r="I741" s="2"/>
    </row>
    <row r="742" spans="1:9" s="3" customFormat="1" ht="15">
      <c r="A742" s="2"/>
      <c r="B742" s="1"/>
      <c r="C742" s="7" t="str">
        <f>"(B.)"&amp;E740</f>
        <v>(B.)操縱省力。</v>
      </c>
      <c r="D742" s="2"/>
      <c r="E742" s="2"/>
      <c r="F742" s="2"/>
      <c r="G742" s="2"/>
      <c r="H742" s="2"/>
      <c r="I742" s="2"/>
    </row>
    <row r="743" spans="1:9" s="3" customFormat="1" ht="15">
      <c r="A743" s="2"/>
      <c r="B743" s="2"/>
      <c r="C743" s="7" t="str">
        <f>"(C.)"&amp;F740</f>
        <v>(C.)操縱反應快。</v>
      </c>
      <c r="D743" s="2"/>
      <c r="E743" s="2"/>
      <c r="F743" s="2"/>
      <c r="G743" s="2"/>
      <c r="H743" s="2"/>
      <c r="I743" s="2"/>
    </row>
    <row r="744" spans="1:9" s="3" customFormat="1" ht="15">
      <c r="A744" s="2"/>
      <c r="B744" s="2"/>
      <c r="C744" s="7" t="str">
        <f>"(D.)"&amp;G740</f>
        <v>(D.)以上皆是。</v>
      </c>
      <c r="D744" s="2"/>
      <c r="E744" s="2"/>
      <c r="F744" s="2"/>
      <c r="G744" s="2"/>
      <c r="H744" s="2"/>
      <c r="I744" s="2"/>
    </row>
    <row r="745" spans="1:9" s="3" customFormat="1" ht="15">
      <c r="A745" s="2"/>
      <c r="B745" s="2"/>
      <c r="C745" s="7" t="str">
        <f>"答案是： "&amp;IF(H740="A.",C741,IF(H740="B.",C742,IF(H740="C.",C743,IF(H740=("D."),C744,"XXXX"))))</f>
        <v>答案是： (D.)以上皆是。</v>
      </c>
      <c r="D745" s="2"/>
      <c r="E745" s="2"/>
      <c r="F745" s="2"/>
      <c r="G745" s="2"/>
      <c r="H745" s="2"/>
      <c r="I745" s="2"/>
    </row>
    <row r="746" spans="1:9" s="3" customFormat="1" ht="150">
      <c r="A746" s="2"/>
      <c r="B746" s="2"/>
      <c r="C746" s="7" t="str">
        <f>"說明："&amp;I740</f>
        <v>說明：此題考查基礎空氣動力學與無人機系統設計規範。無人機之重量與重心平衡(W&amp;B)是確保飛航安全與操作性能符合原廠諸元的核心關鍵，飛行前操作人必須精確掌握並確認其皆處於安全審慎的合理限制內。
《》遙控無人機操縱性好，表示該機具有操縱動作簡單、操縱省力，以及飛機反應快的現象。當這些特性表現良好時，代表飛機能迅速且輕鬆地回應操作者的控制指令，執行俯仰、方向和橫向等飛行狀態的改變。</v>
      </c>
      <c r="D746" s="2"/>
      <c r="E746" s="2"/>
      <c r="F746" s="2"/>
      <c r="G746" s="2"/>
      <c r="H746" s="2"/>
      <c r="I746" s="2"/>
    </row>
    <row r="747" spans="1:9" s="3" customFormat="1" ht="135">
      <c r="A747" s="4" t="str">
        <f>dB題庫!A114</f>
        <v>113</v>
      </c>
      <c r="B747" s="4" t="str">
        <f>dB題庫!B114</f>
        <v>遙控無人機操作有哪四大基本動作</v>
      </c>
      <c r="C747" s="4" t="str">
        <f>A747&amp;"."&amp;B747</f>
        <v>113.遙控無人機操作有哪四大基本動作</v>
      </c>
      <c r="D747" s="4" t="str">
        <f>dB題庫!C114</f>
        <v>平直飛行、側滑、爬升、下降。</v>
      </c>
      <c r="E747" s="4" t="str">
        <f>dB題庫!D114</f>
        <v>平直飛行、轉彎、爬升、倒飛。</v>
      </c>
      <c r="F747" s="4" t="str">
        <f>dB題庫!E114</f>
        <v>平直飛行、轉彎、爬升、下降。</v>
      </c>
      <c r="G747" s="4" t="str">
        <f>dB題庫!F114</f>
        <v>平直飛行、側滑、懸停、倒飛。</v>
      </c>
      <c r="H747" s="4" t="str">
        <f>dB題庫!G114</f>
        <v>C.</v>
      </c>
      <c r="I747" s="4" t="str">
        <f>dB題庫!H114</f>
        <v>此題考查基礎空氣動力學與無人機系統設計規範。無人機之重量與重心平衡(W&amp;B)是確保飛航安全與操作性能符合原廠諸元的核心關鍵，飛行前操作人必須精確掌握並確認其皆處於安全審慎的合理限制內。
《》遙控無人機的操作包含四大基本動作：平直飛行、轉彎、爬升、下降。這些基本動作是飛行的核心基礎：
第1.平直飛行：維持固定的高度、速度與航向，保持直線水平前進。
第2.轉彎：利用改變機頭指向（偏航）或機身傾斜（滾轉）來變更飛行方向。
第3.爬升：增加發動機推力或調整旋翼螺距，使無人機垂直向上飛行。
第4.下降：減少推力，使無人機受重力影響而垂直向下飛行。</v>
      </c>
    </row>
    <row r="748" spans="1:9" s="3" customFormat="1" ht="15">
      <c r="A748" s="2" t="s">
        <v>114</v>
      </c>
      <c r="B748" s="1"/>
      <c r="C748" s="7" t="str">
        <f>"(A.)"&amp;D747</f>
        <v>(A.)平直飛行、側滑、爬升、下降。</v>
      </c>
      <c r="D748" s="2"/>
      <c r="E748" s="2"/>
      <c r="F748" s="2"/>
      <c r="G748" s="2"/>
      <c r="H748" s="2"/>
      <c r="I748" s="2"/>
    </row>
    <row r="749" spans="1:9" s="3" customFormat="1" ht="15">
      <c r="A749" s="2"/>
      <c r="B749" s="1"/>
      <c r="C749" s="7" t="str">
        <f>"(B.)"&amp;E747</f>
        <v>(B.)平直飛行、轉彎、爬升、倒飛。</v>
      </c>
      <c r="D749" s="2"/>
      <c r="E749" s="2"/>
      <c r="F749" s="2"/>
      <c r="G749" s="2"/>
      <c r="H749" s="2"/>
      <c r="I749" s="2"/>
    </row>
    <row r="750" spans="1:9" s="3" customFormat="1" ht="15">
      <c r="A750" s="2"/>
      <c r="B750" s="2"/>
      <c r="C750" s="7" t="str">
        <f>"(C.)"&amp;F747</f>
        <v>(C.)平直飛行、轉彎、爬升、下降。</v>
      </c>
      <c r="D750" s="2"/>
      <c r="E750" s="2"/>
      <c r="F750" s="2"/>
      <c r="G750" s="2"/>
      <c r="H750" s="2"/>
      <c r="I750" s="2"/>
    </row>
    <row r="751" spans="1:9" s="3" customFormat="1" ht="15">
      <c r="A751" s="2"/>
      <c r="B751" s="2"/>
      <c r="C751" s="7" t="str">
        <f>"(D.)"&amp;G747</f>
        <v>(D.)平直飛行、側滑、懸停、倒飛。</v>
      </c>
      <c r="D751" s="2"/>
      <c r="E751" s="2"/>
      <c r="F751" s="2"/>
      <c r="G751" s="2"/>
      <c r="H751" s="2"/>
      <c r="I751" s="2"/>
    </row>
    <row r="752" spans="1:9" s="3" customFormat="1" ht="15">
      <c r="A752" s="2"/>
      <c r="B752" s="2"/>
      <c r="C752" s="7" t="str">
        <f>"答案是： "&amp;IF(H747="A.",C748,IF(H747="B.",C749,IF(H747="C.",C750,IF(H747=("D."),C751,"XXXX"))))</f>
        <v>答案是： (C.)平直飛行、轉彎、爬升、下降。</v>
      </c>
      <c r="D752" s="2"/>
      <c r="E752" s="2"/>
      <c r="F752" s="2"/>
      <c r="G752" s="2"/>
      <c r="H752" s="2"/>
      <c r="I752" s="2"/>
    </row>
    <row r="753" spans="1:9" s="3" customFormat="1" ht="240">
      <c r="A753" s="2"/>
      <c r="B753" s="2"/>
      <c r="C753" s="7" t="str">
        <f>"說明："&amp;I747</f>
        <v>說明：此題考查基礎空氣動力學與無人機系統設計規範。無人機之重量與重心平衡(W&amp;B)是確保飛航安全與操作性能符合原廠諸元的核心關鍵，飛行前操作人必須精確掌握並確認其皆處於安全審慎的合理限制內。
《》遙控無人機的操作包含四大基本動作：平直飛行、轉彎、爬升、下降。這些基本動作是飛行的核心基礎：
第1.平直飛行：維持固定的高度、速度與航向，保持直線水平前進。
第2.轉彎：利用改變機頭指向（偏航）或機身傾斜（滾轉）來變更飛行方向。
第3.爬升：增加發動機推力或調整旋翼螺距，使無人機垂直向上飛行。
第4.下降：減少推力，使無人機受重力影響而垂直向下飛行。</v>
      </c>
      <c r="D753" s="2"/>
      <c r="E753" s="2"/>
      <c r="F753" s="2"/>
      <c r="G753" s="2"/>
      <c r="H753" s="2"/>
      <c r="I753" s="2"/>
    </row>
    <row r="754" spans="1:9" s="3" customFormat="1" ht="90">
      <c r="A754" s="4" t="str">
        <f>dB題庫!A115</f>
        <v>114</v>
      </c>
      <c r="B754" s="4" t="str">
        <f>dB題庫!B115</f>
        <v>操作遙控無人飛機時,當副翼控制右上左下,機體相對於「機體中心」作下列哪種動作</v>
      </c>
      <c r="C754" s="4" t="str">
        <f>A754&amp;"."&amp;B754</f>
        <v>114.操作遙控無人飛機時,當副翼控制右上左下,機體相對於「機體中心」作下列哪種動作</v>
      </c>
      <c r="D754" s="4" t="str">
        <f>dB題庫!C115</f>
        <v>向上俯仰。</v>
      </c>
      <c r="E754" s="4" t="str">
        <f>dB題庫!D115</f>
        <v>右偏航。</v>
      </c>
      <c r="F754" s="4" t="str">
        <f>dB題庫!E115</f>
        <v>右滾。</v>
      </c>
      <c r="G754" s="4" t="str">
        <f>dB題庫!F115</f>
        <v>左滾。</v>
      </c>
      <c r="H754" s="4" t="str">
        <f>dB題庫!G115</f>
        <v>C.</v>
      </c>
      <c r="I754" s="4" t="str">
        <f>dB題庫!H115</f>
        <v>操縱副翼(Ailerons)可以改變左右機翼的升力差，進而使無人機圍繞縱軸(X軸)產生滾轉(Roll)動作。
根據民航局遙控無人機學科測驗規範與飛行原理：右下左上：當搖桿往左下方偏，左側副翼會向上擺動，右側副翼向下擺動。力矩產生：左側升力減小、右側升力增加，這股差動的氣動力會推動左機翼向下、右機翼向上，使飛機向左側傾斜滾轉。</v>
      </c>
    </row>
    <row r="755" spans="1:9" s="3" customFormat="1" ht="15">
      <c r="A755" s="2" t="s">
        <v>114</v>
      </c>
      <c r="B755" s="1"/>
      <c r="C755" s="7" t="str">
        <f>"(A.)"&amp;D754</f>
        <v>(A.)向上俯仰。</v>
      </c>
      <c r="D755" s="2"/>
      <c r="E755" s="2"/>
      <c r="F755" s="2"/>
      <c r="G755" s="2"/>
      <c r="H755" s="2"/>
      <c r="I755" s="2"/>
    </row>
    <row r="756" spans="1:9" s="3" customFormat="1" ht="15">
      <c r="A756" s="2"/>
      <c r="B756" s="1"/>
      <c r="C756" s="7" t="str">
        <f>"(B.)"&amp;E754</f>
        <v>(B.)右偏航。</v>
      </c>
      <c r="D756" s="2"/>
      <c r="E756" s="2"/>
      <c r="F756" s="2"/>
      <c r="G756" s="2"/>
      <c r="H756" s="2"/>
      <c r="I756" s="2"/>
    </row>
    <row r="757" spans="1:9" s="3" customFormat="1" ht="15">
      <c r="A757" s="2"/>
      <c r="B757" s="2"/>
      <c r="C757" s="7" t="str">
        <f>"(C.)"&amp;F754</f>
        <v>(C.)右滾。</v>
      </c>
      <c r="D757" s="2"/>
      <c r="E757" s="2"/>
      <c r="F757" s="2"/>
      <c r="G757" s="2"/>
      <c r="H757" s="2"/>
      <c r="I757" s="2"/>
    </row>
    <row r="758" spans="1:9" s="3" customFormat="1" ht="15">
      <c r="A758" s="2"/>
      <c r="B758" s="2"/>
      <c r="C758" s="7" t="str">
        <f>"(D.)"&amp;G754</f>
        <v>(D.)左滾。</v>
      </c>
      <c r="D758" s="2"/>
      <c r="E758" s="2"/>
      <c r="F758" s="2"/>
      <c r="G758" s="2"/>
      <c r="H758" s="2"/>
      <c r="I758" s="2"/>
    </row>
    <row r="759" spans="1:9" s="3" customFormat="1" ht="15">
      <c r="A759" s="2"/>
      <c r="B759" s="2"/>
      <c r="C759" s="7" t="str">
        <f>"答案是： "&amp;IF(H754="A.",C755,IF(H754="B.",C756,IF(H754="C.",C757,IF(H754=("D."),C758,"XXXX"))))</f>
        <v>答案是： (C.)右滾。</v>
      </c>
      <c r="D759" s="2"/>
      <c r="E759" s="2"/>
      <c r="F759" s="2"/>
      <c r="G759" s="2"/>
      <c r="H759" s="2"/>
      <c r="I759" s="2"/>
    </row>
    <row r="760" spans="1:9" s="3" customFormat="1" ht="135">
      <c r="A760" s="2"/>
      <c r="B760" s="2"/>
      <c r="C760" s="7" t="str">
        <f>"說明："&amp;I754</f>
        <v>說明：操縱副翼(Ailerons)可以改變左右機翼的升力差，進而使無人機圍繞縱軸(X軸)產生滾轉(Roll)動作。
根據民航局遙控無人機學科測驗規範與飛行原理：右下左上：當搖桿往左下方偏，左側副翼會向上擺動，右側副翼向下擺動。力矩產生：左側升力減小、右側升力增加，這股差動的氣動力會推動左機翼向下、右機翼向上，使飛機向左側傾斜滾轉。</v>
      </c>
      <c r="D760" s="2"/>
      <c r="E760" s="2"/>
      <c r="F760" s="2"/>
      <c r="G760" s="2"/>
      <c r="H760" s="2"/>
      <c r="I760" s="2"/>
    </row>
    <row r="761" spans="1:9" s="3" customFormat="1" ht="90">
      <c r="A761" s="4" t="str">
        <f>dB題庫!A116</f>
        <v>115</v>
      </c>
      <c r="B761" s="4" t="str">
        <f>dB題庫!B116</f>
        <v>操作遙控無人飛機時,當副翼控制右下左上,機體相對於「機體中心」作下列哪種動作</v>
      </c>
      <c r="C761" s="4" t="str">
        <f>A761&amp;"."&amp;B761</f>
        <v>115.操作遙控無人飛機時,當副翼控制右下左上,機體相對於「機體中心」作下列哪種動作</v>
      </c>
      <c r="D761" s="4" t="str">
        <f>dB題庫!C116</f>
        <v>向上俯仰。</v>
      </c>
      <c r="E761" s="4" t="str">
        <f>dB題庫!D116</f>
        <v>右偏航。</v>
      </c>
      <c r="F761" s="4" t="str">
        <f>dB題庫!E116</f>
        <v>左滾。</v>
      </c>
      <c r="G761" s="4" t="str">
        <f>dB題庫!F116</f>
        <v>右滾。</v>
      </c>
      <c r="H761" s="4" t="str">
        <f>dB題庫!G116</f>
        <v>C.</v>
      </c>
      <c r="I761" s="4" t="str">
        <f>dB題庫!H116</f>
        <v>操縱副翼(Ailerons)可以改變左右機翼的升力差，進而使無人機圍繞縱軸(X軸)產生滾轉(Roll)動作。
根據民航局遙控無人機學科測驗規範與飛行原理：右下左上：當搖桿往左下方偏，左側副翼會向上擺動，右側副翼向下擺動。力矩產生：左側升力減小、右側升力增加，這股差動的氣動力會推動左機翼向下、右機翼向上，使飛機向左側傾斜滾轉。</v>
      </c>
    </row>
    <row r="762" spans="1:9" s="3" customFormat="1" ht="15">
      <c r="A762" s="2" t="s">
        <v>114</v>
      </c>
      <c r="B762" s="1"/>
      <c r="C762" s="7" t="str">
        <f>"(A.)"&amp;D761</f>
        <v>(A.)向上俯仰。</v>
      </c>
      <c r="D762" s="2"/>
      <c r="E762" s="2"/>
      <c r="F762" s="2"/>
      <c r="G762" s="2"/>
      <c r="H762" s="2"/>
      <c r="I762" s="2"/>
    </row>
    <row r="763" spans="1:9" s="3" customFormat="1" ht="15">
      <c r="A763" s="2"/>
      <c r="B763" s="1"/>
      <c r="C763" s="7" t="str">
        <f>"(B.)"&amp;E761</f>
        <v>(B.)右偏航。</v>
      </c>
      <c r="D763" s="2"/>
      <c r="E763" s="2"/>
      <c r="F763" s="2"/>
      <c r="G763" s="2"/>
      <c r="H763" s="2"/>
      <c r="I763" s="2"/>
    </row>
    <row r="764" spans="1:9" s="3" customFormat="1" ht="15">
      <c r="A764" s="2"/>
      <c r="B764" s="2"/>
      <c r="C764" s="7" t="str">
        <f>"(C.)"&amp;F761</f>
        <v>(C.)左滾。</v>
      </c>
      <c r="D764" s="2"/>
      <c r="E764" s="2"/>
      <c r="F764" s="2"/>
      <c r="G764" s="2"/>
      <c r="H764" s="2"/>
      <c r="I764" s="2"/>
    </row>
    <row r="765" spans="1:9" s="3" customFormat="1" ht="15">
      <c r="A765" s="2"/>
      <c r="B765" s="2"/>
      <c r="C765" s="7" t="str">
        <f>"(D.)"&amp;G761</f>
        <v>(D.)右滾。</v>
      </c>
      <c r="D765" s="2"/>
      <c r="E765" s="2"/>
      <c r="F765" s="2"/>
      <c r="G765" s="2"/>
      <c r="H765" s="2"/>
      <c r="I765" s="2"/>
    </row>
    <row r="766" spans="1:9" s="3" customFormat="1" ht="15">
      <c r="A766" s="2"/>
      <c r="B766" s="2"/>
      <c r="C766" s="7" t="str">
        <f>"答案是： "&amp;IF(H761="A.",C762,IF(H761="B.",C763,IF(H761="C.",C764,IF(H761=("D."),C765,"XXXX"))))</f>
        <v>答案是： (C.)左滾。</v>
      </c>
      <c r="D766" s="2"/>
      <c r="E766" s="2"/>
      <c r="F766" s="2"/>
      <c r="G766" s="2"/>
      <c r="H766" s="2"/>
      <c r="I766" s="2"/>
    </row>
    <row r="767" spans="1:9" s="3" customFormat="1" ht="135">
      <c r="A767" s="2"/>
      <c r="B767" s="2"/>
      <c r="C767" s="7" t="str">
        <f>"說明："&amp;I761</f>
        <v>說明：操縱副翼(Ailerons)可以改變左右機翼的升力差，進而使無人機圍繞縱軸(X軸)產生滾轉(Roll)動作。
根據民航局遙控無人機學科測驗規範與飛行原理：右下左上：當搖桿往左下方偏，左側副翼會向上擺動，右側副翼向下擺動。力矩產生：左側升力減小、右側升力增加，這股差動的氣動力會推動左機翼向下、右機翼向上，使飛機向左側傾斜滾轉。</v>
      </c>
      <c r="D767" s="2"/>
      <c r="E767" s="2"/>
      <c r="F767" s="2"/>
      <c r="G767" s="2"/>
      <c r="H767" s="2"/>
      <c r="I767" s="2"/>
    </row>
    <row r="768" spans="1:9" s="3" customFormat="1" ht="30">
      <c r="A768" s="4" t="str">
        <f>dB題庫!A117</f>
        <v>116</v>
      </c>
      <c r="B768" s="4" t="str">
        <f>dB題庫!B117</f>
        <v>操作遙控無人飛機時,當方向舵控制往右,機體相對於「機體中心」作下列哪種動作</v>
      </c>
      <c r="C768" s="4" t="str">
        <f>A768&amp;"."&amp;B768</f>
        <v>116.操作遙控無人飛機時,當方向舵控制往右,機體相對於「機體中心」作下列哪種動作</v>
      </c>
      <c r="D768" s="4" t="str">
        <f>dB題庫!C117</f>
        <v>向上俯仰。</v>
      </c>
      <c r="E768" s="4" t="str">
        <f>dB題庫!D117</f>
        <v>右偏航。</v>
      </c>
      <c r="F768" s="4" t="str">
        <f>dB題庫!E117</f>
        <v>左偏航。</v>
      </c>
      <c r="G768" s="4" t="str">
        <f>dB題庫!F117</f>
        <v>右滾。</v>
      </c>
      <c r="H768" s="4" t="str">
        <f>dB題庫!G117</f>
        <v>B.</v>
      </c>
      <c r="I768" s="4" t="str">
        <f>dB題庫!H117</f>
        <v>操縱方向舵(Rudder)會產生圍繞垂直軸(Z軸)的偏航力矩，使機頭產生向左或向右的偏航(Yaw)運動。</v>
      </c>
    </row>
    <row r="769" spans="1:9" s="3" customFormat="1" ht="15">
      <c r="A769" s="2" t="s">
        <v>114</v>
      </c>
      <c r="B769" s="1"/>
      <c r="C769" s="7" t="str">
        <f>"(A.)"&amp;D768</f>
        <v>(A.)向上俯仰。</v>
      </c>
      <c r="D769" s="2"/>
      <c r="E769" s="2"/>
      <c r="F769" s="2"/>
      <c r="G769" s="2"/>
      <c r="H769" s="2"/>
      <c r="I769" s="2"/>
    </row>
    <row r="770" spans="1:9" s="3" customFormat="1" ht="15">
      <c r="A770" s="2"/>
      <c r="B770" s="1"/>
      <c r="C770" s="7" t="str">
        <f>"(B.)"&amp;E768</f>
        <v>(B.)右偏航。</v>
      </c>
      <c r="D770" s="2"/>
      <c r="E770" s="2"/>
      <c r="F770" s="2"/>
      <c r="G770" s="2"/>
      <c r="H770" s="2"/>
      <c r="I770" s="2"/>
    </row>
    <row r="771" spans="1:9" s="3" customFormat="1" ht="15">
      <c r="A771" s="2"/>
      <c r="B771" s="2"/>
      <c r="C771" s="7" t="str">
        <f>"(C.)"&amp;F768</f>
        <v>(C.)左偏航。</v>
      </c>
      <c r="D771" s="2"/>
      <c r="E771" s="2"/>
      <c r="F771" s="2"/>
      <c r="G771" s="2"/>
      <c r="H771" s="2"/>
      <c r="I771" s="2"/>
    </row>
    <row r="772" spans="1:9" s="3" customFormat="1" ht="15">
      <c r="A772" s="2"/>
      <c r="B772" s="2"/>
      <c r="C772" s="7" t="str">
        <f>"(D.)"&amp;G768</f>
        <v>(D.)右滾。</v>
      </c>
      <c r="D772" s="2"/>
      <c r="E772" s="2"/>
      <c r="F772" s="2"/>
      <c r="G772" s="2"/>
      <c r="H772" s="2"/>
      <c r="I772" s="2"/>
    </row>
    <row r="773" spans="1:9" s="3" customFormat="1" ht="15">
      <c r="A773" s="2"/>
      <c r="B773" s="2"/>
      <c r="C773" s="7" t="str">
        <f>"答案是： "&amp;IF(H768="A.",C769,IF(H768="B.",C770,IF(H768="C.",C771,IF(H768=("D."),C772,"XXXX"))))</f>
        <v>答案是： (B.)右偏航。</v>
      </c>
      <c r="D773" s="2"/>
      <c r="E773" s="2"/>
      <c r="F773" s="2"/>
      <c r="G773" s="2"/>
      <c r="H773" s="2"/>
      <c r="I773" s="2"/>
    </row>
    <row r="774" spans="1:9" s="3" customFormat="1" ht="45">
      <c r="A774" s="2"/>
      <c r="B774" s="2"/>
      <c r="C774" s="7" t="str">
        <f>"說明："&amp;I768</f>
        <v>說明：操縱方向舵(Rudder)會產生圍繞垂直軸(Z軸)的偏航力矩，使機頭產生向左或向右的偏航(Yaw)運動。</v>
      </c>
      <c r="D774" s="2"/>
      <c r="E774" s="2"/>
      <c r="F774" s="2"/>
      <c r="G774" s="2"/>
      <c r="H774" s="2"/>
      <c r="I774" s="2"/>
    </row>
    <row r="775" spans="1:9" s="3" customFormat="1" ht="30">
      <c r="A775" s="4" t="str">
        <f>dB題庫!A118</f>
        <v>117</v>
      </c>
      <c r="B775" s="4" t="str">
        <f>dB題庫!B118</f>
        <v>操作遙控無人飛機時,當方向舵控制往左,機體相對於「機體中心」作下列哪種動作</v>
      </c>
      <c r="C775" s="4" t="str">
        <f>A775&amp;"."&amp;B775</f>
        <v>117.操作遙控無人飛機時,當方向舵控制往左,機體相對於「機體中心」作下列哪種動作</v>
      </c>
      <c r="D775" s="4" t="str">
        <f>dB題庫!C118</f>
        <v>右滾。</v>
      </c>
      <c r="E775" s="4" t="str">
        <f>dB題庫!D118</f>
        <v>左偏航。</v>
      </c>
      <c r="F775" s="4" t="str">
        <f>dB題庫!E118</f>
        <v>右偏航。</v>
      </c>
      <c r="G775" s="4" t="str">
        <f>dB題庫!F118</f>
        <v>左滾。</v>
      </c>
      <c r="H775" s="4" t="str">
        <f>dB題庫!G118</f>
        <v>B.</v>
      </c>
      <c r="I775" s="4" t="str">
        <f>dB題庫!H118</f>
        <v>操縱方向舵(RuD.D.er)會產生圍繞垂直軸(Z軸)的偏航力矩，使機頭產生向左或向右的偏航(YA.w)運動。</v>
      </c>
    </row>
    <row r="776" spans="1:9" s="3" customFormat="1" ht="15">
      <c r="A776" s="2" t="s">
        <v>114</v>
      </c>
      <c r="B776" s="1"/>
      <c r="C776" s="7" t="str">
        <f>"(A.)"&amp;D775</f>
        <v>(A.)右滾。</v>
      </c>
      <c r="D776" s="2"/>
      <c r="E776" s="2"/>
      <c r="F776" s="2"/>
      <c r="G776" s="2"/>
      <c r="H776" s="2"/>
      <c r="I776" s="2"/>
    </row>
    <row r="777" spans="1:9" s="3" customFormat="1" ht="15">
      <c r="A777" s="2"/>
      <c r="B777" s="1"/>
      <c r="C777" s="7" t="str">
        <f>"(B.)"&amp;E775</f>
        <v>(B.)左偏航。</v>
      </c>
      <c r="D777" s="2"/>
      <c r="E777" s="2"/>
      <c r="F777" s="2"/>
      <c r="G777" s="2"/>
      <c r="H777" s="2"/>
      <c r="I777" s="2"/>
    </row>
    <row r="778" spans="1:9" s="3" customFormat="1" ht="15">
      <c r="A778" s="2"/>
      <c r="B778" s="2"/>
      <c r="C778" s="7" t="str">
        <f>"(C.)"&amp;F775</f>
        <v>(C.)右偏航。</v>
      </c>
      <c r="D778" s="2"/>
      <c r="E778" s="2"/>
      <c r="F778" s="2"/>
      <c r="G778" s="2"/>
      <c r="H778" s="2"/>
      <c r="I778" s="2"/>
    </row>
    <row r="779" spans="1:9" s="3" customFormat="1" ht="15">
      <c r="A779" s="2"/>
      <c r="B779" s="2"/>
      <c r="C779" s="7" t="str">
        <f>"(D.)"&amp;G775</f>
        <v>(D.)左滾。</v>
      </c>
      <c r="D779" s="2"/>
      <c r="E779" s="2"/>
      <c r="F779" s="2"/>
      <c r="G779" s="2"/>
      <c r="H779" s="2"/>
      <c r="I779" s="2"/>
    </row>
    <row r="780" spans="1:9" s="3" customFormat="1" ht="15">
      <c r="A780" s="2"/>
      <c r="B780" s="2"/>
      <c r="C780" s="7" t="str">
        <f>"答案是： "&amp;IF(H775="A.",C776,IF(H775="B.",C777,IF(H775="C.",C778,IF(H775=("D."),C779,"XXXX"))))</f>
        <v>答案是： (B.)左偏航。</v>
      </c>
      <c r="D780" s="2"/>
      <c r="E780" s="2"/>
      <c r="F780" s="2"/>
      <c r="G780" s="2"/>
      <c r="H780" s="2"/>
      <c r="I780" s="2"/>
    </row>
    <row r="781" spans="1:9" s="3" customFormat="1" ht="45">
      <c r="A781" s="2"/>
      <c r="B781" s="2"/>
      <c r="C781" s="7" t="str">
        <f>"說明："&amp;I775</f>
        <v>說明：操縱方向舵(RuD.D.er)會產生圍繞垂直軸(Z軸)的偏航力矩，使機頭產生向左或向右的偏航(YA.w)運動。</v>
      </c>
      <c r="D781" s="2"/>
      <c r="E781" s="2"/>
      <c r="F781" s="2"/>
      <c r="G781" s="2"/>
      <c r="H781" s="2"/>
      <c r="I781" s="2"/>
    </row>
    <row r="782" spans="1:9" s="3" customFormat="1" ht="60">
      <c r="A782" s="4" t="str">
        <f>dB題庫!A119</f>
        <v>118</v>
      </c>
      <c r="B782" s="4" t="str">
        <f>dB題庫!B119</f>
        <v>控制遙控無人機時,操作人應以相對於下列哪個項目來思考「上」、「下」、「左」、「右」</v>
      </c>
      <c r="C782" s="4" t="str">
        <f>A782&amp;"."&amp;B782</f>
        <v>118.控制遙控無人機時,操作人應以相對於下列哪個項目來思考「上」、「下」、「左」、「右」</v>
      </c>
      <c r="D782" s="4" t="str">
        <f>dB題庫!C119</f>
        <v>機體中心。</v>
      </c>
      <c r="E782" s="4" t="str">
        <f>dB題庫!D119</f>
        <v>地平面。</v>
      </c>
      <c r="F782" s="4" t="str">
        <f>dB題庫!E119</f>
        <v>操作人自己的虛擬座標。</v>
      </c>
      <c r="G782" s="4" t="str">
        <f>dB題庫!F119</f>
        <v>以上皆是。</v>
      </c>
      <c r="H782" s="4" t="str">
        <f>dB題庫!G119</f>
        <v>A.</v>
      </c>
      <c r="I782" s="4" t="str">
        <f>dB題庫!H119</f>
        <v>控制遙控無人機時，正確答案是 (A.) 機體中心。操作人應避免以地平面為基準，而必須以相對於機體中心來思考「上」、「下」、「左」、「右」。飛行方向思考原則基準選擇：以機體中心為座標原點與參考基準。操作要點：隨時掌握機頭朝向（順向或逆向）。依據機身自身的軸向來判斷滾轉、俯仰與偏航動作。</v>
      </c>
    </row>
    <row r="783" spans="1:9" s="3" customFormat="1" ht="15">
      <c r="A783" s="2" t="s">
        <v>114</v>
      </c>
      <c r="B783" s="1"/>
      <c r="C783" s="7" t="str">
        <f>"(A.)"&amp;D782</f>
        <v>(A.)機體中心。</v>
      </c>
      <c r="D783" s="2"/>
      <c r="E783" s="2"/>
      <c r="F783" s="2"/>
      <c r="G783" s="2"/>
      <c r="H783" s="2"/>
      <c r="I783" s="2"/>
    </row>
    <row r="784" spans="1:9" s="3" customFormat="1" ht="15">
      <c r="A784" s="2"/>
      <c r="B784" s="1"/>
      <c r="C784" s="7" t="str">
        <f>"(B.)"&amp;E782</f>
        <v>(B.)地平面。</v>
      </c>
      <c r="D784" s="2"/>
      <c r="E784" s="2"/>
      <c r="F784" s="2"/>
      <c r="G784" s="2"/>
      <c r="H784" s="2"/>
      <c r="I784" s="2"/>
    </row>
    <row r="785" spans="1:9" s="3" customFormat="1" ht="15">
      <c r="A785" s="2"/>
      <c r="B785" s="2"/>
      <c r="C785" s="7" t="str">
        <f>"(C.)"&amp;F782</f>
        <v>(C.)操作人自己的虛擬座標。</v>
      </c>
      <c r="D785" s="2"/>
      <c r="E785" s="2"/>
      <c r="F785" s="2"/>
      <c r="G785" s="2"/>
      <c r="H785" s="2"/>
      <c r="I785" s="2"/>
    </row>
    <row r="786" spans="1:9" s="3" customFormat="1" ht="15">
      <c r="A786" s="2"/>
      <c r="B786" s="2"/>
      <c r="C786" s="7" t="str">
        <f>"(D.)"&amp;G782</f>
        <v>(D.)以上皆是。</v>
      </c>
      <c r="D786" s="2"/>
      <c r="E786" s="2"/>
      <c r="F786" s="2"/>
      <c r="G786" s="2"/>
      <c r="H786" s="2"/>
      <c r="I786" s="2"/>
    </row>
    <row r="787" spans="1:9" s="3" customFormat="1" ht="15">
      <c r="A787" s="2"/>
      <c r="B787" s="2"/>
      <c r="C787" s="7" t="str">
        <f>"答案是： "&amp;IF(H782="A.",C783,IF(H782="B.",C784,IF(H782="C.",C785,IF(H782=("D."),C786,"XXXX"))))</f>
        <v>答案是： (A.)機體中心。</v>
      </c>
      <c r="D787" s="2"/>
      <c r="E787" s="2"/>
      <c r="F787" s="2"/>
      <c r="G787" s="2"/>
      <c r="H787" s="2"/>
      <c r="I787" s="2"/>
    </row>
    <row r="788" spans="1:9" s="3" customFormat="1" ht="105">
      <c r="A788" s="2"/>
      <c r="B788" s="2"/>
      <c r="C788" s="7" t="str">
        <f>"說明："&amp;I782</f>
        <v>說明：控制遙控無人機時，正確答案是 (A.) 機體中心。操作人應避免以地平面為基準，而必須以相對於機體中心來思考「上」、「下」、「左」、「右」。飛行方向思考原則基準選擇：以機體中心為座標原點與參考基準。操作要點：隨時掌握機頭朝向（順向或逆向）。依據機身自身的軸向來判斷滾轉、俯仰與偏航動作。</v>
      </c>
      <c r="D788" s="2"/>
      <c r="E788" s="2"/>
      <c r="F788" s="2"/>
      <c r="G788" s="2"/>
      <c r="H788" s="2"/>
      <c r="I788" s="2"/>
    </row>
    <row r="789" spans="1:9" s="3" customFormat="1" ht="45">
      <c r="A789" s="4" t="str">
        <f>dB題庫!A120</f>
        <v>119</v>
      </c>
      <c r="B789" s="4" t="str">
        <f>dB題庫!B120</f>
        <v>無人直昇機,其主旋翼在旋轉時主要產生下列哪種力</v>
      </c>
      <c r="C789" s="4" t="str">
        <f>A789&amp;"."&amp;B789</f>
        <v>119.無人直昇機,其主旋翼在旋轉時主要產生下列哪種力</v>
      </c>
      <c r="D789" s="4" t="str">
        <f>dB題庫!C120</f>
        <v>向上的升力。</v>
      </c>
      <c r="E789" s="4" t="str">
        <f>dB題庫!D120</f>
        <v>向下的升力。</v>
      </c>
      <c r="F789" s="4" t="str">
        <f>dB題庫!E120</f>
        <v>向前的升力。</v>
      </c>
      <c r="G789" s="4" t="str">
        <f>dB題庫!F120</f>
        <v>向後的升力。</v>
      </c>
      <c r="H789" s="4" t="str">
        <f>dB題庫!G120</f>
        <v>A.</v>
      </c>
      <c r="I789" s="4" t="str">
        <f>dB題庫!H120</f>
        <v>無人直昇機的主旋翼提供主要升力與前進推力，而主旋翼轉動時對機身產生的反作用扭力，必須由尾旋翼(Tail Rotor)產生的側向推力來完全抵銷，藉此精準控制機頭的轉向與穩定。</v>
      </c>
    </row>
    <row r="790" spans="1:9" s="3" customFormat="1" ht="15">
      <c r="A790" s="2" t="s">
        <v>114</v>
      </c>
      <c r="B790" s="1"/>
      <c r="C790" s="7" t="str">
        <f>"(A.)"&amp;D789</f>
        <v>(A.)向上的升力。</v>
      </c>
      <c r="D790" s="2"/>
      <c r="E790" s="2"/>
      <c r="F790" s="2"/>
      <c r="G790" s="2"/>
      <c r="H790" s="2"/>
      <c r="I790" s="2"/>
    </row>
    <row r="791" spans="1:9" s="3" customFormat="1" ht="15">
      <c r="A791" s="2"/>
      <c r="B791" s="1"/>
      <c r="C791" s="7" t="str">
        <f>"(B.)"&amp;E789</f>
        <v>(B.)向下的升力。</v>
      </c>
      <c r="D791" s="2"/>
      <c r="E791" s="2"/>
      <c r="F791" s="2"/>
      <c r="G791" s="2"/>
      <c r="H791" s="2"/>
      <c r="I791" s="2"/>
    </row>
    <row r="792" spans="1:9" s="3" customFormat="1" ht="15">
      <c r="A792" s="2"/>
      <c r="B792" s="2"/>
      <c r="C792" s="7" t="str">
        <f>"(C.)"&amp;F789</f>
        <v>(C.)向前的升力。</v>
      </c>
      <c r="D792" s="2"/>
      <c r="E792" s="2"/>
      <c r="F792" s="2"/>
      <c r="G792" s="2"/>
      <c r="H792" s="2"/>
      <c r="I792" s="2"/>
    </row>
    <row r="793" spans="1:9" s="3" customFormat="1" ht="15">
      <c r="A793" s="2"/>
      <c r="B793" s="2"/>
      <c r="C793" s="7" t="str">
        <f>"(D.)"&amp;G789</f>
        <v>(D.)向後的升力。</v>
      </c>
      <c r="D793" s="2"/>
      <c r="E793" s="2"/>
      <c r="F793" s="2"/>
      <c r="G793" s="2"/>
      <c r="H793" s="2"/>
      <c r="I793" s="2"/>
    </row>
    <row r="794" spans="1:9" s="3" customFormat="1" ht="15">
      <c r="A794" s="2"/>
      <c r="B794" s="2"/>
      <c r="C794" s="7" t="str">
        <f>"答案是： "&amp;IF(H789="A.",C790,IF(H789="B.",C791,IF(H789="C.",C792,IF(H789=("D."),C793,"XXXX"))))</f>
        <v>答案是： (A.)向上的升力。</v>
      </c>
      <c r="D794" s="2"/>
      <c r="E794" s="2"/>
      <c r="F794" s="2"/>
      <c r="G794" s="2"/>
      <c r="H794" s="2"/>
      <c r="I794" s="2"/>
    </row>
    <row r="795" spans="1:9" s="3" customFormat="1" ht="60">
      <c r="A795" s="2"/>
      <c r="B795" s="2"/>
      <c r="C795" s="7" t="str">
        <f>"說明："&amp;I789</f>
        <v>說明：無人直昇機的主旋翼提供主要升力與前進推力，而主旋翼轉動時對機身產生的反作用扭力，必須由尾旋翼(Tail Rotor)產生的側向推力來完全抵銷，藉此精準控制機頭的轉向與穩定。</v>
      </c>
      <c r="D795" s="2"/>
      <c r="E795" s="2"/>
      <c r="F795" s="2"/>
      <c r="G795" s="2"/>
      <c r="H795" s="2"/>
      <c r="I795" s="2"/>
    </row>
    <row r="796" spans="1:9" s="3" customFormat="1" ht="45">
      <c r="A796" s="4" t="str">
        <f>dB題庫!A121</f>
        <v>120</v>
      </c>
      <c r="B796" s="4" t="str">
        <f>dB題庫!B121</f>
        <v>無人直昇機主旋翼產生升力的原理,類似於下列哪個原理</v>
      </c>
      <c r="C796" s="4" t="str">
        <f>A796&amp;"."&amp;B796</f>
        <v>120.無人直昇機主旋翼產生升力的原理,類似於下列哪個原理</v>
      </c>
      <c r="D796" s="4" t="str">
        <f>dB題庫!C121</f>
        <v>無人飛機機翼產生升力的原理。</v>
      </c>
      <c r="E796" s="4" t="str">
        <f>dB題庫!D121</f>
        <v>螺旋槳產生推力的原理。</v>
      </c>
      <c r="F796" s="4" t="str">
        <f>dB題庫!E121</f>
        <v>以上皆是。</v>
      </c>
      <c r="G796" s="4" t="str">
        <f>dB題庫!F121</f>
        <v>以上皆非。</v>
      </c>
      <c r="H796" s="4" t="str">
        <f>dB題庫!G121</f>
        <v>C.</v>
      </c>
      <c r="I796" s="4" t="str">
        <f>dB題庫!H121</f>
        <v>無人直昇機的主旋翼提供主要升力與前進推力，而主旋翼轉動時對機身產生的反作用扭力，必須由尾旋翼(Tail Rotor)產生的側向推力來完全抵銷，藉此精準控制機頭的轉向與穩定。</v>
      </c>
    </row>
    <row r="797" spans="1:9" s="3" customFormat="1" ht="15">
      <c r="A797" s="2" t="s">
        <v>114</v>
      </c>
      <c r="B797" s="1"/>
      <c r="C797" s="7" t="str">
        <f>"(A.)"&amp;D796</f>
        <v>(A.)無人飛機機翼產生升力的原理。</v>
      </c>
      <c r="D797" s="2"/>
      <c r="E797" s="2"/>
      <c r="F797" s="2"/>
      <c r="G797" s="2"/>
      <c r="H797" s="2"/>
      <c r="I797" s="2"/>
    </row>
    <row r="798" spans="1:9" s="3" customFormat="1" ht="15">
      <c r="A798" s="2"/>
      <c r="B798" s="1"/>
      <c r="C798" s="7" t="str">
        <f>"(B.)"&amp;E796</f>
        <v>(B.)螺旋槳產生推力的原理。</v>
      </c>
      <c r="D798" s="2"/>
      <c r="E798" s="2"/>
      <c r="F798" s="2"/>
      <c r="G798" s="2"/>
      <c r="H798" s="2"/>
      <c r="I798" s="2"/>
    </row>
    <row r="799" spans="1:9" s="3" customFormat="1" ht="15">
      <c r="A799" s="2"/>
      <c r="B799" s="2"/>
      <c r="C799" s="7" t="str">
        <f>"(C.)"&amp;F796</f>
        <v>(C.)以上皆是。</v>
      </c>
      <c r="D799" s="2"/>
      <c r="E799" s="2"/>
      <c r="F799" s="2"/>
      <c r="G799" s="2"/>
      <c r="H799" s="2"/>
      <c r="I799" s="2"/>
    </row>
    <row r="800" spans="1:9" s="3" customFormat="1" ht="15">
      <c r="A800" s="2"/>
      <c r="B800" s="2"/>
      <c r="C800" s="7" t="str">
        <f>"(D.)"&amp;G796</f>
        <v>(D.)以上皆非。</v>
      </c>
      <c r="D800" s="2"/>
      <c r="E800" s="2"/>
      <c r="F800" s="2"/>
      <c r="G800" s="2"/>
      <c r="H800" s="2"/>
      <c r="I800" s="2"/>
    </row>
    <row r="801" spans="1:9" s="3" customFormat="1" ht="15">
      <c r="A801" s="2"/>
      <c r="B801" s="2"/>
      <c r="C801" s="7" t="str">
        <f>"答案是： "&amp;IF(H796="A.",C797,IF(H796="B.",C798,IF(H796="C.",C799,IF(H796=("D."),C800,"XXXX"))))</f>
        <v>答案是： (C.)以上皆是。</v>
      </c>
      <c r="D801" s="2"/>
      <c r="E801" s="2"/>
      <c r="F801" s="2"/>
      <c r="G801" s="2"/>
      <c r="H801" s="2"/>
      <c r="I801" s="2"/>
    </row>
    <row r="802" spans="1:9" s="3" customFormat="1" ht="60">
      <c r="A802" s="2"/>
      <c r="B802" s="2"/>
      <c r="C802" s="7" t="str">
        <f>"說明："&amp;I796</f>
        <v>說明：無人直昇機的主旋翼提供主要升力與前進推力，而主旋翼轉動時對機身產生的反作用扭力，必須由尾旋翼(Tail Rotor)產生的側向推力來完全抵銷，藉此精準控制機頭的轉向與穩定。</v>
      </c>
      <c r="D802" s="2"/>
      <c r="E802" s="2"/>
      <c r="F802" s="2"/>
      <c r="G802" s="2"/>
      <c r="H802" s="2"/>
      <c r="I802" s="2"/>
    </row>
    <row r="803" spans="1:9" s="3" customFormat="1" ht="45">
      <c r="A803" s="4" t="str">
        <f>dB題庫!A122</f>
        <v>121</v>
      </c>
      <c r="B803" s="4" t="str">
        <f>dB題庫!B122</f>
        <v>若無人直昇機主旋翼的旋轉面保持在水平位置,則所產生的力是下列哪個方向</v>
      </c>
      <c r="C803" s="4" t="str">
        <f>A803&amp;"."&amp;B803</f>
        <v>121.若無人直昇機主旋翼的旋轉面保持在水平位置,則所產生的力是下列哪個方向</v>
      </c>
      <c r="D803" s="4" t="str">
        <f>dB題庫!C122</f>
        <v>垂直向下。</v>
      </c>
      <c r="E803" s="4" t="str">
        <f>dB題庫!D122</f>
        <v>垂直向上。</v>
      </c>
      <c r="F803" s="4" t="str">
        <f>dB題庫!E122</f>
        <v>傾斜向下。</v>
      </c>
      <c r="G803" s="4" t="str">
        <f>dB題庫!F122</f>
        <v>傾斜向上。</v>
      </c>
      <c r="H803" s="4" t="str">
        <f>dB題庫!G122</f>
        <v>B.</v>
      </c>
      <c r="I803" s="4" t="str">
        <f>dB題庫!H122</f>
        <v>無人直昇機的主旋翼提供主要升力與前進推力，而主旋翼轉動時對機身產生的反作用扭力，必須由尾旋翼(TA.il Rotor)產生的側向推力來完全抵銷，藉此精準控制機頭的轉向與穩定。</v>
      </c>
    </row>
    <row r="804" spans="1:9" s="3" customFormat="1" ht="15">
      <c r="A804" s="2" t="s">
        <v>114</v>
      </c>
      <c r="B804" s="1"/>
      <c r="C804" s="7" t="str">
        <f>"(A.)"&amp;D803</f>
        <v>(A.)垂直向下。</v>
      </c>
      <c r="D804" s="2"/>
      <c r="E804" s="2"/>
      <c r="F804" s="2"/>
      <c r="G804" s="2"/>
      <c r="H804" s="2"/>
      <c r="I804" s="2"/>
    </row>
    <row r="805" spans="1:9" s="3" customFormat="1" ht="15">
      <c r="A805" s="2"/>
      <c r="B805" s="1"/>
      <c r="C805" s="7" t="str">
        <f>"(B.)"&amp;E803</f>
        <v>(B.)垂直向上。</v>
      </c>
      <c r="D805" s="2"/>
      <c r="E805" s="2"/>
      <c r="F805" s="2"/>
      <c r="G805" s="2"/>
      <c r="H805" s="2"/>
      <c r="I805" s="2"/>
    </row>
    <row r="806" spans="1:9" s="3" customFormat="1" ht="15">
      <c r="A806" s="2"/>
      <c r="B806" s="2"/>
      <c r="C806" s="7" t="str">
        <f>"(C.)"&amp;F803</f>
        <v>(C.)傾斜向下。</v>
      </c>
      <c r="D806" s="2"/>
      <c r="E806" s="2"/>
      <c r="F806" s="2"/>
      <c r="G806" s="2"/>
      <c r="H806" s="2"/>
      <c r="I806" s="2"/>
    </row>
    <row r="807" spans="1:9" s="3" customFormat="1" ht="15">
      <c r="A807" s="2"/>
      <c r="B807" s="2"/>
      <c r="C807" s="7" t="str">
        <f>"(D.)"&amp;G803</f>
        <v>(D.)傾斜向上。</v>
      </c>
      <c r="D807" s="2"/>
      <c r="E807" s="2"/>
      <c r="F807" s="2"/>
      <c r="G807" s="2"/>
      <c r="H807" s="2"/>
      <c r="I807" s="2"/>
    </row>
    <row r="808" spans="1:9" s="3" customFormat="1" ht="15">
      <c r="A808" s="2"/>
      <c r="B808" s="2"/>
      <c r="C808" s="7" t="str">
        <f>"答案是： "&amp;IF(H803="A.",C804,IF(H803="B.",C805,IF(H803="C.",C806,IF(H803=("D."),C807,"XXXX"))))</f>
        <v>答案是： (B.)垂直向上。</v>
      </c>
      <c r="D808" s="2"/>
      <c r="E808" s="2"/>
      <c r="F808" s="2"/>
      <c r="G808" s="2"/>
      <c r="H808" s="2"/>
      <c r="I808" s="2"/>
    </row>
    <row r="809" spans="1:9" s="3" customFormat="1" ht="60">
      <c r="A809" s="2"/>
      <c r="B809" s="2"/>
      <c r="C809" s="7" t="str">
        <f>"說明："&amp;I803</f>
        <v>說明：無人直昇機的主旋翼提供主要升力與前進推力，而主旋翼轉動時對機身產生的反作用扭力，必須由尾旋翼(TA.il Rotor)產生的側向推力來完全抵銷，藉此精準控制機頭的轉向與穩定。</v>
      </c>
      <c r="D809" s="2"/>
      <c r="E809" s="2"/>
      <c r="F809" s="2"/>
      <c r="G809" s="2"/>
      <c r="H809" s="2"/>
      <c r="I809" s="2"/>
    </row>
    <row r="810" spans="1:9" s="3" customFormat="1" ht="45">
      <c r="A810" s="4" t="str">
        <f>dB題庫!A123</f>
        <v>122</v>
      </c>
      <c r="B810" s="4" t="str">
        <f>dB題庫!B123</f>
        <v>無人直昇機利用主旋翼產生升力的原理執行下列哪些動作</v>
      </c>
      <c r="C810" s="4" t="str">
        <f>A810&amp;"."&amp;B810</f>
        <v>122.無人直昇機利用主旋翼產生升力的原理執行下列哪些動作</v>
      </c>
      <c r="D810" s="4" t="str">
        <f>dB題庫!C123</f>
        <v>起飛離地。</v>
      </c>
      <c r="E810" s="4" t="str">
        <f>dB題庫!D123</f>
        <v>爬升。</v>
      </c>
      <c r="F810" s="4" t="str">
        <f>dB題庫!E123</f>
        <v>懸停。</v>
      </c>
      <c r="G810" s="4" t="str">
        <f>dB題庫!F123</f>
        <v>以上皆是。</v>
      </c>
      <c r="H810" s="4" t="str">
        <f>dB題庫!G123</f>
        <v>D.</v>
      </c>
      <c r="I810" s="4" t="str">
        <f>dB題庫!H123</f>
        <v>無人直昇機的主旋翼提供主要升力與前進推力，而主旋翼轉動時對機身產生的反作用扭力，必須由尾旋翼(Tail Rotor)產生的側向推力來完全抵銷，藉此精準控制機頭的轉向與穩定。</v>
      </c>
    </row>
    <row r="811" spans="1:9" s="3" customFormat="1" ht="15">
      <c r="A811" s="2" t="s">
        <v>114</v>
      </c>
      <c r="B811" s="1"/>
      <c r="C811" s="7" t="str">
        <f>"(A.)"&amp;D810</f>
        <v>(A.)起飛離地。</v>
      </c>
      <c r="D811" s="2"/>
      <c r="E811" s="2"/>
      <c r="F811" s="2"/>
      <c r="G811" s="2"/>
      <c r="H811" s="2"/>
      <c r="I811" s="2"/>
    </row>
    <row r="812" spans="1:9" s="3" customFormat="1" ht="15">
      <c r="A812" s="2"/>
      <c r="B812" s="1"/>
      <c r="C812" s="7" t="str">
        <f>"(B.)"&amp;E810</f>
        <v>(B.)爬升。</v>
      </c>
      <c r="D812" s="2"/>
      <c r="E812" s="2"/>
      <c r="F812" s="2"/>
      <c r="G812" s="2"/>
      <c r="H812" s="2"/>
      <c r="I812" s="2"/>
    </row>
    <row r="813" spans="1:9" s="3" customFormat="1" ht="15">
      <c r="A813" s="2"/>
      <c r="B813" s="2"/>
      <c r="C813" s="7" t="str">
        <f>"(C.)"&amp;F810</f>
        <v>(C.)懸停。</v>
      </c>
      <c r="D813" s="2"/>
      <c r="E813" s="2"/>
      <c r="F813" s="2"/>
      <c r="G813" s="2"/>
      <c r="H813" s="2"/>
      <c r="I813" s="2"/>
    </row>
    <row r="814" spans="1:9" s="3" customFormat="1" ht="15">
      <c r="A814" s="2"/>
      <c r="B814" s="2"/>
      <c r="C814" s="7" t="str">
        <f>"(D.)"&amp;G810</f>
        <v>(D.)以上皆是。</v>
      </c>
      <c r="D814" s="2"/>
      <c r="E814" s="2"/>
      <c r="F814" s="2"/>
      <c r="G814" s="2"/>
      <c r="H814" s="2"/>
      <c r="I814" s="2"/>
    </row>
    <row r="815" spans="1:9" s="3" customFormat="1" ht="15">
      <c r="A815" s="2"/>
      <c r="B815" s="2"/>
      <c r="C815" s="7" t="str">
        <f>"答案是： "&amp;IF(H810="A.",C811,IF(H810="B.",C812,IF(H810="C.",C813,IF(H810=("D."),C814,"XXXX"))))</f>
        <v>答案是： (D.)以上皆是。</v>
      </c>
      <c r="D815" s="2"/>
      <c r="E815" s="2"/>
      <c r="F815" s="2"/>
      <c r="G815" s="2"/>
      <c r="H815" s="2"/>
      <c r="I815" s="2"/>
    </row>
    <row r="816" spans="1:9" s="3" customFormat="1" ht="60">
      <c r="A816" s="2"/>
      <c r="B816" s="2"/>
      <c r="C816" s="7" t="str">
        <f>"說明："&amp;I810</f>
        <v>說明：無人直昇機的主旋翼提供主要升力與前進推力，而主旋翼轉動時對機身產生的反作用扭力，必須由尾旋翼(Tail Rotor)產生的側向推力來完全抵銷，藉此精準控制機頭的轉向與穩定。</v>
      </c>
      <c r="D816" s="2"/>
      <c r="E816" s="2"/>
      <c r="F816" s="2"/>
      <c r="G816" s="2"/>
      <c r="H816" s="2"/>
      <c r="I816" s="2"/>
    </row>
    <row r="817" spans="1:9" s="3" customFormat="1" ht="300">
      <c r="A817" s="4" t="str">
        <f>dB題庫!A124</f>
        <v>123</v>
      </c>
      <c r="B817" s="4" t="str">
        <f>dB題庫!B124</f>
        <v>如果升力與推力大於重力與阻力,遙控無人機的運動方向是下列哪個方向</v>
      </c>
      <c r="C817" s="4" t="str">
        <f>A817&amp;"."&amp;B817</f>
        <v>123.如果升力與推力大於重力與阻力,遙控無人機的運動方向是下列哪個方向</v>
      </c>
      <c r="D817" s="4" t="str">
        <f>dB題庫!C124</f>
        <v>垂直向上。</v>
      </c>
      <c r="E817" s="4" t="str">
        <f>dB題庫!D124</f>
        <v>垂直向下。</v>
      </c>
      <c r="F817" s="4" t="str">
        <f>dB題庫!E124</f>
        <v>傾斜向上。</v>
      </c>
      <c r="G817" s="4" t="str">
        <f>dB題庫!F124</f>
        <v>傾斜向下。</v>
      </c>
      <c r="H817" s="4" t="str">
        <f>dB題庫!G124</f>
        <v>A.</v>
      </c>
      <c r="I817" s="4" t="str">
        <f>dB題庫!H124</f>
        <v>此題考查基礎空氣動力學與無人機系統設計規範。無人機之重量與重心平衡(W&amp;B)是確保飛航安全與操作性能符合原廠諸元的核心關鍵，飛行前操作人必須精確掌握並確認其皆處於安全審慎的合理限制內。
【】本題標準答案有問題！！！因為遙控無人機在升力與推力皆大於重力與阻力時，代表機體同時具備向上及向前的淨力（合力），因此其運動方向為 (C.) 傾斜向上。
這項原理在交通部民用航空局 的 遙控無人機學科測驗指南 中有詳細說明：垂直方向：當升力大於重力時，會產生向上的運動。水平方向：當推力大於阻力時，會產生向前（或加速）的運動。兩者合力之下，飛行軌跡便會呈現傾斜向上。
如果升力與推力大於重力與阻力， 即升力大於重力，推力大於阻力，遙控無人機的運動方向應是垂直向上同時向前，......【但本題標準答案是
這正是飛行器（如飛機或無人機）能升空與加速的關鍵物理原理。當合力大於零時，物體便會產生加速度：升力大於重力能使飛行器向上爬升，而推力大於阻力則能使飛行器向前加速。
飛行時所受的四個基本作用力如下：升力 (Lift)：由機翼或旋翼產生，用來克服地心引力。推力 (Thrust)：由引擎或動力系統產生，提供前進的動力。重力 (Weight)：地球對飛行器的引力（即重量）。阻力 (Drag)：空氣對機體產生的摩擦與反作用力。當飛行器處於等速水平直線飛行的狀態時，這四個力會呈現完美的平衡，此時升力等於重力，推力等於阻力。</v>
      </c>
    </row>
    <row r="818" spans="1:9" s="3" customFormat="1" ht="15">
      <c r="A818" s="2" t="s">
        <v>114</v>
      </c>
      <c r="B818" s="1"/>
      <c r="C818" s="7" t="str">
        <f>"(A.)"&amp;D817</f>
        <v>(A.)垂直向上。</v>
      </c>
      <c r="D818" s="2"/>
      <c r="E818" s="2"/>
      <c r="F818" s="2"/>
      <c r="G818" s="2"/>
      <c r="H818" s="2"/>
      <c r="I818" s="2"/>
    </row>
    <row r="819" spans="1:9" s="3" customFormat="1" ht="15">
      <c r="A819" s="2"/>
      <c r="B819" s="1"/>
      <c r="C819" s="7" t="str">
        <f>"(B.)"&amp;E817</f>
        <v>(B.)垂直向下。</v>
      </c>
      <c r="D819" s="2"/>
      <c r="E819" s="2"/>
      <c r="F819" s="2"/>
      <c r="G819" s="2"/>
      <c r="H819" s="2"/>
      <c r="I819" s="2"/>
    </row>
    <row r="820" spans="1:9" s="3" customFormat="1" ht="15">
      <c r="A820" s="2"/>
      <c r="B820" s="2"/>
      <c r="C820" s="7" t="str">
        <f>"(C.)"&amp;F817</f>
        <v>(C.)傾斜向上。</v>
      </c>
      <c r="D820" s="2"/>
      <c r="E820" s="2"/>
      <c r="F820" s="2"/>
      <c r="G820" s="2"/>
      <c r="H820" s="2"/>
      <c r="I820" s="2"/>
    </row>
    <row r="821" spans="1:9" s="3" customFormat="1" ht="15">
      <c r="A821" s="2"/>
      <c r="B821" s="2"/>
      <c r="C821" s="7" t="str">
        <f>"(D.)"&amp;G817</f>
        <v>(D.)傾斜向下。</v>
      </c>
      <c r="D821" s="2"/>
      <c r="E821" s="2"/>
      <c r="F821" s="2"/>
      <c r="G821" s="2"/>
      <c r="H821" s="2"/>
      <c r="I821" s="2"/>
    </row>
    <row r="822" spans="1:9" s="3" customFormat="1" ht="15">
      <c r="A822" s="2"/>
      <c r="B822" s="2"/>
      <c r="C822" s="7" t="str">
        <f>"答案是： "&amp;IF(H817="A.",C818,IF(H817="B.",C819,IF(H817="C.",C820,IF(H817=("D."),C821,"XXXX"))))</f>
        <v>答案是： (A.)垂直向上。</v>
      </c>
      <c r="D822" s="2"/>
      <c r="E822" s="2"/>
      <c r="F822" s="2"/>
      <c r="G822" s="2"/>
      <c r="H822" s="2"/>
      <c r="I822" s="2"/>
    </row>
    <row r="823" spans="1:9" s="3" customFormat="1" ht="409.6">
      <c r="A823" s="2"/>
      <c r="B823" s="2"/>
      <c r="C823" s="7" t="str">
        <f>"說明："&amp;I817</f>
        <v>說明：此題考查基礎空氣動力學與無人機系統設計規範。無人機之重量與重心平衡(W&amp;B)是確保飛航安全與操作性能符合原廠諸元的核心關鍵，飛行前操作人必須精確掌握並確認其皆處於安全審慎的合理限制內。
【】本題標準答案有問題！！！因為遙控無人機在升力與推力皆大於重力與阻力時，代表機體同時具備向上及向前的淨力（合力），因此其運動方向為 (C.) 傾斜向上。
這項原理在交通部民用航空局 的 遙控無人機學科測驗指南 中有詳細說明：垂直方向：當升力大於重力時，會產生向上的運動。水平方向：當推力大於阻力時，會產生向前（或加速）的運動。兩者合力之下，飛行軌跡便會呈現傾斜向上。
如果升力與推力大於重力與阻力， 即升力大於重力，推力大於阻力，遙控無人機的運動方向應是垂直向上同時向前，......【但本題標準答案是
這正是飛行器（如飛機或無人機）能升空與加速的關鍵物理原理。當合力大於零時，物體便會產生加速度：升力大於重力能使飛行器向上爬升，而推力大於阻力則能使飛行器向前加速。
飛行時所受的四個基本作用力如下：升力 (Lift)：由機翼或旋翼產生，用來克服地心引力。推力 (Thrust)：由引擎或動力系統產生，提供前進的動力。重力 (Weight)：地球對飛行器的引力（即重量）。阻力 (Drag)：空氣對機體產生的摩擦與反作用力。當飛行器處於等速水平直線飛行的狀態時，這四個力會呈現完美的平衡，此時升力等於重力，推力等於阻力。</v>
      </c>
      <c r="D823" s="2"/>
      <c r="E823" s="2"/>
      <c r="F823" s="2"/>
      <c r="G823" s="2"/>
      <c r="H823" s="2"/>
      <c r="I823" s="2"/>
    </row>
    <row r="824" spans="1:9" s="3" customFormat="1" ht="90">
      <c r="A824" s="4" t="str">
        <f>dB題庫!A125</f>
        <v>124</v>
      </c>
      <c r="B824" s="4" t="str">
        <f>dB題庫!B125</f>
        <v>無人直昇機主旋翼的槳葉片的俯仰角愈大,就會有下列哪種情形</v>
      </c>
      <c r="C824" s="4" t="str">
        <f>A824&amp;"."&amp;B824</f>
        <v>124.無人直昇機主旋翼的槳葉片的俯仰角愈大,就會有下列哪種情形</v>
      </c>
      <c r="D824" s="4" t="str">
        <f>dB題庫!C125</f>
        <v>升力愈大,扭力愈小。</v>
      </c>
      <c r="E824" s="4" t="str">
        <f>dB題庫!D125</f>
        <v>升力愈大,扭力也愈大。</v>
      </c>
      <c r="F824" s="4" t="str">
        <f>dB題庫!E125</f>
        <v>升力愈小,也扭力愈小。</v>
      </c>
      <c r="G824" s="4" t="str">
        <f>dB題庫!F125</f>
        <v>升力愈小,扭力愈大。</v>
      </c>
      <c r="H824" s="4" t="str">
        <f>dB題庫!G125</f>
        <v>B.</v>
      </c>
      <c r="I824" s="4" t="str">
        <f>dB題庫!H125</f>
        <v>無人直昇機的主旋翼提供主要升力與前進推力，而主旋翼轉動時對機身產生的反作用扭力，必須由尾旋翼(Tail Rotor)產生的側向推力來完全抵銷，藉此精準控制機頭的轉向與穩定。
《》無人直昇機主旋翼的槳葉片俯仰角愈大時，空氣對葉片產生的升力會增加，同時葉片旋轉所產生的反作用扭力也會隨之變大。因此，會有「升力愈大，扭力也愈大」的情形。</v>
      </c>
    </row>
    <row r="825" spans="1:9" s="3" customFormat="1" ht="15">
      <c r="A825" s="2" t="s">
        <v>114</v>
      </c>
      <c r="B825" s="1"/>
      <c r="C825" s="7" t="str">
        <f>"(A.)"&amp;D824</f>
        <v>(A.)升力愈大,扭力愈小。</v>
      </c>
      <c r="D825" s="2"/>
      <c r="E825" s="2"/>
      <c r="F825" s="2"/>
      <c r="G825" s="2"/>
      <c r="H825" s="2"/>
      <c r="I825" s="2"/>
    </row>
    <row r="826" spans="1:9" s="3" customFormat="1" ht="15">
      <c r="A826" s="2"/>
      <c r="B826" s="1"/>
      <c r="C826" s="7" t="str">
        <f>"(B.)"&amp;E824</f>
        <v>(B.)升力愈大,扭力也愈大。</v>
      </c>
      <c r="D826" s="2"/>
      <c r="E826" s="2"/>
      <c r="F826" s="2"/>
      <c r="G826" s="2"/>
      <c r="H826" s="2"/>
      <c r="I826" s="2"/>
    </row>
    <row r="827" spans="1:9" s="3" customFormat="1" ht="15">
      <c r="A827" s="2"/>
      <c r="B827" s="2"/>
      <c r="C827" s="7" t="str">
        <f>"(C.)"&amp;F824</f>
        <v>(C.)升力愈小,也扭力愈小。</v>
      </c>
      <c r="D827" s="2"/>
      <c r="E827" s="2"/>
      <c r="F827" s="2"/>
      <c r="G827" s="2"/>
      <c r="H827" s="2"/>
      <c r="I827" s="2"/>
    </row>
    <row r="828" spans="1:9" s="3" customFormat="1" ht="15">
      <c r="A828" s="2"/>
      <c r="B828" s="2"/>
      <c r="C828" s="7" t="str">
        <f>"(D.)"&amp;G824</f>
        <v>(D.)升力愈小,扭力愈大。</v>
      </c>
      <c r="D828" s="2"/>
      <c r="E828" s="2"/>
      <c r="F828" s="2"/>
      <c r="G828" s="2"/>
      <c r="H828" s="2"/>
      <c r="I828" s="2"/>
    </row>
    <row r="829" spans="1:9" s="3" customFormat="1" ht="15">
      <c r="A829" s="2"/>
      <c r="B829" s="2"/>
      <c r="C829" s="7" t="str">
        <f>"答案是： "&amp;IF(H824="A.",C825,IF(H824="B.",C826,IF(H824="C.",C827,IF(H824=("D."),C828,"XXXX"))))</f>
        <v>答案是： (B.)升力愈大,扭力也愈大。</v>
      </c>
      <c r="D829" s="2"/>
      <c r="E829" s="2"/>
      <c r="F829" s="2"/>
      <c r="G829" s="2"/>
      <c r="H829" s="2"/>
      <c r="I829" s="2"/>
    </row>
    <row r="830" spans="1:9" s="3" customFormat="1" ht="120">
      <c r="A830" s="2"/>
      <c r="B830" s="2"/>
      <c r="C830" s="7" t="str">
        <f>"說明："&amp;I824</f>
        <v>說明：無人直昇機的主旋翼提供主要升力與前進推力，而主旋翼轉動時對機身產生的反作用扭力，必須由尾旋翼(Tail Rotor)產生的側向推力來完全抵銷，藉此精準控制機頭的轉向與穩定。
《》無人直昇機主旋翼的槳葉片俯仰角愈大時，空氣對葉片產生的升力會增加，同時葉片旋轉所產生的反作用扭力也會隨之變大。因此，會有「升力愈大，扭力也愈大」的情形。</v>
      </c>
      <c r="D830" s="2"/>
      <c r="E830" s="2"/>
      <c r="F830" s="2"/>
      <c r="G830" s="2"/>
      <c r="H830" s="2"/>
      <c r="I830" s="2"/>
    </row>
    <row r="831" spans="1:9" s="3" customFormat="1" ht="105">
      <c r="A831" s="4" t="str">
        <f>dB題庫!A126</f>
        <v>125</v>
      </c>
      <c r="B831" s="4" t="str">
        <f>dB題庫!B126</f>
        <v>無人直昇機的尾旋翼主要功能為何</v>
      </c>
      <c r="C831" s="4" t="str">
        <f>A831&amp;"."&amp;B831</f>
        <v>125.無人直昇機的尾旋翼主要功能為何</v>
      </c>
      <c r="D831" s="4" t="str">
        <f>dB題庫!C126</f>
        <v>抵消升力,控制機頭方向。</v>
      </c>
      <c r="E831" s="4" t="str">
        <f>dB題庫!D126</f>
        <v>抵消阻力,控制機頭方向.</v>
      </c>
      <c r="F831" s="4" t="str">
        <f>dB題庫!E126</f>
        <v>抵消扭力,控制機頭方向。</v>
      </c>
      <c r="G831" s="4" t="str">
        <f>dB題庫!F126</f>
        <v>抵消重力,控制機頭方向。</v>
      </c>
      <c r="H831" s="4" t="str">
        <f>dB題庫!G126</f>
        <v>C.</v>
      </c>
      <c r="I831" s="4" t="str">
        <f>dB題庫!H126</f>
        <v>無人直昇機的主旋翼提供主要升力與前進推力，而主旋翼轉動時對機身產生的反作用扭力，必須由尾旋翼(Tail Rotor)產生的側向推力來完全抵銷，藉此精準控制機頭的轉向與穩定。
《》無人直昇機尾旋翼的主要功能為抵消主旋翼產生的反扭力，並透過調整尾旋翼的螺距來控制機頭的轉向（偏航）。當主旋翼旋轉時，根據牛頓第三運動定律，機身會受到相反方向的力矩而旋轉；尾旋翼即是用來產生反向推力以保持機身穩定，讓飛行員能精準控制直昇機方向。</v>
      </c>
    </row>
    <row r="832" spans="1:9" s="3" customFormat="1" ht="15">
      <c r="A832" s="2" t="s">
        <v>114</v>
      </c>
      <c r="B832" s="1"/>
      <c r="C832" s="7" t="str">
        <f>"(A.)"&amp;D831</f>
        <v>(A.)抵消升力,控制機頭方向。</v>
      </c>
      <c r="D832" s="2"/>
      <c r="E832" s="2"/>
      <c r="F832" s="2"/>
      <c r="G832" s="2"/>
      <c r="H832" s="2"/>
      <c r="I832" s="2"/>
    </row>
    <row r="833" spans="1:9" s="3" customFormat="1" ht="15">
      <c r="A833" s="2"/>
      <c r="B833" s="1"/>
      <c r="C833" s="7" t="str">
        <f>"(B.)"&amp;E831</f>
        <v>(B.)抵消阻力,控制機頭方向.</v>
      </c>
      <c r="D833" s="2"/>
      <c r="E833" s="2"/>
      <c r="F833" s="2"/>
      <c r="G833" s="2"/>
      <c r="H833" s="2"/>
      <c r="I833" s="2"/>
    </row>
    <row r="834" spans="1:9" s="3" customFormat="1" ht="15">
      <c r="A834" s="2"/>
      <c r="B834" s="2"/>
      <c r="C834" s="7" t="str">
        <f>"(C.)"&amp;F831</f>
        <v>(C.)抵消扭力,控制機頭方向。</v>
      </c>
      <c r="D834" s="2"/>
      <c r="E834" s="2"/>
      <c r="F834" s="2"/>
      <c r="G834" s="2"/>
      <c r="H834" s="2"/>
      <c r="I834" s="2"/>
    </row>
    <row r="835" spans="1:9" s="3" customFormat="1" ht="15">
      <c r="A835" s="2"/>
      <c r="B835" s="2"/>
      <c r="C835" s="7" t="str">
        <f>"(D.)"&amp;G831</f>
        <v>(D.)抵消重力,控制機頭方向。</v>
      </c>
      <c r="D835" s="2"/>
      <c r="E835" s="2"/>
      <c r="F835" s="2"/>
      <c r="G835" s="2"/>
      <c r="H835" s="2"/>
      <c r="I835" s="2"/>
    </row>
    <row r="836" spans="1:9" s="3" customFormat="1" ht="15">
      <c r="A836" s="2"/>
      <c r="B836" s="2"/>
      <c r="C836" s="7" t="str">
        <f>"答案是： "&amp;IF(H831="A.",C832,IF(H831="B.",C833,IF(H831="C.",C834,IF(H831=("D."),C835,"XXXX"))))</f>
        <v>答案是： (C.)抵消扭力,控制機頭方向。</v>
      </c>
      <c r="D836" s="2"/>
      <c r="E836" s="2"/>
      <c r="F836" s="2"/>
      <c r="G836" s="2"/>
      <c r="H836" s="2"/>
      <c r="I836" s="2"/>
    </row>
    <row r="837" spans="1:9" s="3" customFormat="1" ht="150">
      <c r="A837" s="2"/>
      <c r="B837" s="2"/>
      <c r="C837" s="7" t="str">
        <f>"說明："&amp;I831</f>
        <v>說明：無人直昇機的主旋翼提供主要升力與前進推力，而主旋翼轉動時對機身產生的反作用扭力，必須由尾旋翼(Tail Rotor)產生的側向推力來完全抵銷，藉此精準控制機頭的轉向與穩定。
《》無人直昇機尾旋翼的主要功能為抵消主旋翼產生的反扭力，並透過調整尾旋翼的螺距來控制機頭的轉向（偏航）。當主旋翼旋轉時，根據牛頓第三運動定律，機身會受到相反方向的力矩而旋轉；尾旋翼即是用來產生反向推力以保持機身穩定，讓飛行員能精準控制直昇機方向。</v>
      </c>
      <c r="D837" s="2"/>
      <c r="E837" s="2"/>
      <c r="F837" s="2"/>
      <c r="G837" s="2"/>
      <c r="H837" s="2"/>
      <c r="I837" s="2"/>
    </row>
    <row r="838" spans="1:9" s="3" customFormat="1" ht="120">
      <c r="A838" s="4" t="str">
        <f>dB題庫!A127</f>
        <v>126</v>
      </c>
      <c r="B838" s="4" t="str">
        <f>dB題庫!B127</f>
        <v>無人直昇機有下列哪些基本飛行動作</v>
      </c>
      <c r="C838" s="4" t="str">
        <f>A838&amp;"."&amp;B838</f>
        <v>126.無人直昇機有下列哪些基本飛行動作</v>
      </c>
      <c r="D838" s="4" t="str">
        <f>dB題庫!C127</f>
        <v>平直飛行。</v>
      </c>
      <c r="E838" s="4" t="str">
        <f>dB題庫!D127</f>
        <v>轉彎。</v>
      </c>
      <c r="F838" s="4" t="str">
        <f>dB題庫!E127</f>
        <v>爬升及下降。</v>
      </c>
      <c r="G838" s="4" t="str">
        <f>dB題庫!F127</f>
        <v>以上皆是。</v>
      </c>
      <c r="H838" s="4" t="str">
        <f>dB題庫!G127</f>
        <v>D.</v>
      </c>
      <c r="I838" s="4" t="str">
        <f>dB題庫!H127</f>
        <v>無人直昇機的主旋翼提供主要升力與前進推力，而主旋翼轉動時對機身產生的反作用扭力，必須由尾旋翼(Tail Rotor)產生的側向推力來完全抵銷，藉此精準控制機頭的轉向與穩定。
《》無人直昇機的四大基本飛行動作包含：平直飛行、轉彎、爬升及下降。
除了四大基本動作，實務操作上還包含以下進階或複合的基本動作：
第1.垂直起飛到懸停：垂直飛離地面約 2 至 3 呎，並保持航向不變
第2.懸停轉彎：指在懸停高度下，執行機鼻向左或向右轉，同時保持相對於地面的位置與高度不變 。</v>
      </c>
    </row>
    <row r="839" spans="1:9" s="3" customFormat="1" ht="15">
      <c r="A839" s="2" t="s">
        <v>114</v>
      </c>
      <c r="B839" s="1"/>
      <c r="C839" s="7" t="str">
        <f>"(A.)"&amp;D838</f>
        <v>(A.)平直飛行。</v>
      </c>
      <c r="D839" s="2"/>
      <c r="E839" s="2"/>
      <c r="F839" s="2"/>
      <c r="G839" s="2"/>
      <c r="H839" s="2"/>
      <c r="I839" s="2"/>
    </row>
    <row r="840" spans="1:9" s="3" customFormat="1" ht="15">
      <c r="A840" s="2"/>
      <c r="B840" s="1"/>
      <c r="C840" s="7" t="str">
        <f>"(B.)"&amp;E838</f>
        <v>(B.)轉彎。</v>
      </c>
      <c r="D840" s="2"/>
      <c r="E840" s="2"/>
      <c r="F840" s="2"/>
      <c r="G840" s="2"/>
      <c r="H840" s="2"/>
      <c r="I840" s="2"/>
    </row>
    <row r="841" spans="1:9" s="3" customFormat="1" ht="15">
      <c r="A841" s="2"/>
      <c r="B841" s="2"/>
      <c r="C841" s="7" t="str">
        <f>"(C.)"&amp;F838</f>
        <v>(C.)爬升及下降。</v>
      </c>
      <c r="D841" s="2"/>
      <c r="E841" s="2"/>
      <c r="F841" s="2"/>
      <c r="G841" s="2"/>
      <c r="H841" s="2"/>
      <c r="I841" s="2"/>
    </row>
    <row r="842" spans="1:9" s="3" customFormat="1" ht="15">
      <c r="A842" s="2"/>
      <c r="B842" s="2"/>
      <c r="C842" s="7" t="str">
        <f>"(D.)"&amp;G838</f>
        <v>(D.)以上皆是。</v>
      </c>
      <c r="D842" s="2"/>
      <c r="E842" s="2"/>
      <c r="F842" s="2"/>
      <c r="G842" s="2"/>
      <c r="H842" s="2"/>
      <c r="I842" s="2"/>
    </row>
    <row r="843" spans="1:9" s="3" customFormat="1" ht="15">
      <c r="A843" s="2"/>
      <c r="B843" s="2"/>
      <c r="C843" s="7" t="str">
        <f>"答案是： "&amp;IF(H838="A.",C839,IF(H838="B.",C840,IF(H838="C.",C841,IF(H838=("D."),C842,"XXXX"))))</f>
        <v>答案是： (D.)以上皆是。</v>
      </c>
      <c r="D843" s="2"/>
      <c r="E843" s="2"/>
      <c r="F843" s="2"/>
      <c r="G843" s="2"/>
      <c r="H843" s="2"/>
      <c r="I843" s="2"/>
    </row>
    <row r="844" spans="1:9" s="3" customFormat="1" ht="195">
      <c r="A844" s="2"/>
      <c r="B844" s="2"/>
      <c r="C844" s="7" t="str">
        <f>"說明："&amp;I838</f>
        <v>說明：無人直昇機的主旋翼提供主要升力與前進推力，而主旋翼轉動時對機身產生的反作用扭力，必須由尾旋翼(Tail Rotor)產生的側向推力來完全抵銷，藉此精準控制機頭的轉向與穩定。
《》無人直昇機的四大基本飛行動作包含：平直飛行、轉彎、爬升及下降。
除了四大基本動作，實務操作上還包含以下進階或複合的基本動作：
第1.垂直起飛到懸停：垂直飛離地面約 2 至 3 呎，並保持航向不變
第2.懸停轉彎：指在懸停高度下，執行機鼻向左或向右轉，同時保持相對於地面的位置與高度不變 。</v>
      </c>
      <c r="D844" s="2"/>
      <c r="E844" s="2"/>
      <c r="F844" s="2"/>
      <c r="G844" s="2"/>
      <c r="H844" s="2"/>
      <c r="I844" s="2"/>
    </row>
    <row r="845" spans="1:9" s="3" customFormat="1" ht="75">
      <c r="A845" s="4" t="str">
        <f>dB題庫!A134</f>
        <v>133</v>
      </c>
      <c r="B845" s="4" t="str">
        <f>dB題庫!B134</f>
        <v>無人直昇機「側向懸停飛行」,係指保持不變的下列哪種狀態</v>
      </c>
      <c r="C845" s="4" t="str">
        <f>A845&amp;"."&amp;B845</f>
        <v>133.無人直昇機「側向懸停飛行」,係指保持不變的下列哪種狀態</v>
      </c>
      <c r="D845" s="4" t="str">
        <f>dB題庫!C134</f>
        <v>地面速度。</v>
      </c>
      <c r="E845" s="4" t="str">
        <f>dB題庫!D134</f>
        <v>高度。</v>
      </c>
      <c r="F845" s="4" t="str">
        <f>dB題庫!E134</f>
        <v>航向。</v>
      </c>
      <c r="G845" s="4" t="str">
        <f>dB題庫!F134</f>
        <v>以上皆是。</v>
      </c>
      <c r="H845" s="4" t="str">
        <f>dB題庫!G134</f>
        <v>D.</v>
      </c>
      <c r="I845" s="4" t="str">
        <f>dB題庫!H134</f>
        <v>無人直昇機的主旋翼提供主要升力與前進推力，而主旋翼轉動時對機身產生的反作用扭力，必須由尾旋翼(Tail Rotor)產生的側向推力來完全抵銷，藉此精準控制機頭的轉向與穩定。
《》所謂「懸停」,係指高度狀態保持不變；「側向懸停」即無人直昇機橫向移到另一特定位置，而且地面速度。高度及航向均保持不變。</v>
      </c>
    </row>
    <row r="846" spans="1:9" s="3" customFormat="1" ht="15">
      <c r="A846" s="2" t="s">
        <v>114</v>
      </c>
      <c r="B846" s="1"/>
      <c r="C846" s="7" t="str">
        <f>"(A.)"&amp;D845</f>
        <v>(A.)地面速度。</v>
      </c>
      <c r="D846" s="2"/>
      <c r="E846" s="2"/>
      <c r="F846" s="2"/>
      <c r="G846" s="2"/>
      <c r="H846" s="2"/>
      <c r="I846" s="2"/>
    </row>
    <row r="847" spans="1:9" s="3" customFormat="1" ht="15">
      <c r="A847" s="2"/>
      <c r="B847" s="1"/>
      <c r="C847" s="7" t="str">
        <f>"(B.)"&amp;E845</f>
        <v>(B.)高度。</v>
      </c>
      <c r="D847" s="2"/>
      <c r="E847" s="2"/>
      <c r="F847" s="2"/>
      <c r="G847" s="2"/>
      <c r="H847" s="2"/>
      <c r="I847" s="2"/>
    </row>
    <row r="848" spans="1:9" s="3" customFormat="1" ht="15">
      <c r="A848" s="2"/>
      <c r="B848" s="2"/>
      <c r="C848" s="7" t="str">
        <f>"(C.)"&amp;F845</f>
        <v>(C.)航向。</v>
      </c>
      <c r="D848" s="2"/>
      <c r="E848" s="2"/>
      <c r="F848" s="2"/>
      <c r="G848" s="2"/>
      <c r="H848" s="2"/>
      <c r="I848" s="2"/>
    </row>
    <row r="849" spans="1:9" s="3" customFormat="1" ht="15">
      <c r="A849" s="2"/>
      <c r="B849" s="2"/>
      <c r="C849" s="7" t="str">
        <f>"(D.)"&amp;G845</f>
        <v>(D.)以上皆是。</v>
      </c>
      <c r="D849" s="2"/>
      <c r="E849" s="2"/>
      <c r="F849" s="2"/>
      <c r="G849" s="2"/>
      <c r="H849" s="2"/>
      <c r="I849" s="2"/>
    </row>
    <row r="850" spans="1:9" s="3" customFormat="1" ht="15">
      <c r="A850" s="2"/>
      <c r="B850" s="2"/>
      <c r="C850" s="7" t="str">
        <f>"答案是： "&amp;IF(H845="A.",C846,IF(H845="B.",C847,IF(H845="C.",C848,IF(H845=("D."),C849,"XXXX"))))</f>
        <v>答案是： (D.)以上皆是。</v>
      </c>
      <c r="D850" s="2"/>
      <c r="E850" s="2"/>
      <c r="F850" s="2"/>
      <c r="G850" s="2"/>
      <c r="H850" s="2"/>
      <c r="I850" s="2"/>
    </row>
    <row r="851" spans="1:9" s="3" customFormat="1" ht="105">
      <c r="A851" s="2"/>
      <c r="B851" s="2"/>
      <c r="C851" s="7" t="str">
        <f>"說明："&amp;I845</f>
        <v>說明：無人直昇機的主旋翼提供主要升力與前進推力，而主旋翼轉動時對機身產生的反作用扭力，必須由尾旋翼(Tail Rotor)產生的側向推力來完全抵銷，藉此精準控制機頭的轉向與穩定。
《》所謂「懸停」,係指高度狀態保持不變；「側向懸停」即無人直昇機橫向移到另一特定位置，而且地面速度。高度及航向均保持不變。</v>
      </c>
      <c r="D851" s="2"/>
      <c r="E851" s="2"/>
      <c r="F851" s="2"/>
      <c r="G851" s="2"/>
      <c r="H851" s="2"/>
      <c r="I851" s="2"/>
    </row>
    <row r="852" spans="1:9" s="3" customFormat="1" ht="75">
      <c r="A852" s="4" t="str">
        <f>dB題庫!A135</f>
        <v>134</v>
      </c>
      <c r="B852" s="4" t="str">
        <f>dB題庫!B135</f>
        <v>當必須移動無人直昇機到另一特定位置,但當時狀況不可能執行向前或側向懸停飛行時,就要使用下列哪種動作</v>
      </c>
      <c r="C852" s="4" t="str">
        <f>A852&amp;"."&amp;B852</f>
        <v>134.當必須移動無人直昇機到另一特定位置,但當時狀況不可能執行向前或側向懸停飛行時,就要使用下列哪種動作</v>
      </c>
      <c r="D852" s="4" t="str">
        <f>dB題庫!C135</f>
        <v>平直飛行。</v>
      </c>
      <c r="E852" s="4" t="str">
        <f>dB題庫!D135</f>
        <v>向後懸停飛行。</v>
      </c>
      <c r="F852" s="4" t="str">
        <f>dB題庫!E135</f>
        <v>懸停轉彎。</v>
      </c>
      <c r="G852" s="4" t="str">
        <f>dB題庫!F135</f>
        <v>傾斜轉彎。</v>
      </c>
      <c r="H852" s="4" t="str">
        <f>dB題庫!G135</f>
        <v>B.</v>
      </c>
      <c r="I852" s="4" t="str">
        <f>dB題庫!H135</f>
        <v>無人直昇機的主旋翼提供主要升力與前進推力，而主旋翼轉動時對機身產生的反作用扭力，必須由尾旋翼(Tail Rotor)產生的側向推力來完全抵銷，藉此精準控制機頭的轉向與穩定。
《》所謂「懸停」,係指高度狀態保持不變；「向後懸停」即無人直昇機向後移到另一特定位置，而且地面速度。高度及航向均保持不變。</v>
      </c>
    </row>
    <row r="853" spans="1:9" s="3" customFormat="1" ht="15">
      <c r="A853" s="2" t="s">
        <v>114</v>
      </c>
      <c r="B853" s="1"/>
      <c r="C853" s="7" t="str">
        <f>"(A.)"&amp;D852</f>
        <v>(A.)平直飛行。</v>
      </c>
      <c r="D853" s="2"/>
      <c r="E853" s="2"/>
      <c r="F853" s="2"/>
      <c r="G853" s="2"/>
      <c r="H853" s="2"/>
      <c r="I853" s="2"/>
    </row>
    <row r="854" spans="1:9" s="3" customFormat="1" ht="15">
      <c r="A854" s="2"/>
      <c r="B854" s="1"/>
      <c r="C854" s="7" t="str">
        <f>"(B.)"&amp;E852</f>
        <v>(B.)向後懸停飛行。</v>
      </c>
      <c r="D854" s="2"/>
      <c r="E854" s="2"/>
      <c r="F854" s="2"/>
      <c r="G854" s="2"/>
      <c r="H854" s="2"/>
      <c r="I854" s="2"/>
    </row>
    <row r="855" spans="1:9" s="3" customFormat="1" ht="15">
      <c r="A855" s="2"/>
      <c r="B855" s="2"/>
      <c r="C855" s="7" t="str">
        <f>"(C.)"&amp;F852</f>
        <v>(C.)懸停轉彎。</v>
      </c>
      <c r="D855" s="2"/>
      <c r="E855" s="2"/>
      <c r="F855" s="2"/>
      <c r="G855" s="2"/>
      <c r="H855" s="2"/>
      <c r="I855" s="2"/>
    </row>
    <row r="856" spans="1:9" s="3" customFormat="1" ht="15">
      <c r="A856" s="2"/>
      <c r="B856" s="2"/>
      <c r="C856" s="7" t="str">
        <f>"(D.)"&amp;G852</f>
        <v>(D.)傾斜轉彎。</v>
      </c>
      <c r="D856" s="2"/>
      <c r="E856" s="2"/>
      <c r="F856" s="2"/>
      <c r="G856" s="2"/>
      <c r="H856" s="2"/>
      <c r="I856" s="2"/>
    </row>
    <row r="857" spans="1:9" s="3" customFormat="1" ht="15">
      <c r="A857" s="2"/>
      <c r="B857" s="2"/>
      <c r="C857" s="7" t="str">
        <f>"答案是： "&amp;IF(H852="A.",C853,IF(H852="B.",C854,IF(H852="C.",C855,IF(H852=("D."),C856,"XXXX"))))</f>
        <v>答案是： (B.)向後懸停飛行。</v>
      </c>
      <c r="D857" s="2"/>
      <c r="E857" s="2"/>
      <c r="F857" s="2"/>
      <c r="G857" s="2"/>
      <c r="H857" s="2"/>
      <c r="I857" s="2"/>
    </row>
    <row r="858" spans="1:9" s="3" customFormat="1" ht="105">
      <c r="A858" s="2"/>
      <c r="B858" s="2"/>
      <c r="C858" s="7" t="str">
        <f>"說明："&amp;I852</f>
        <v>說明：無人直昇機的主旋翼提供主要升力與前進推力，而主旋翼轉動時對機身產生的反作用扭力，必須由尾旋翼(Tail Rotor)產生的側向推力來完全抵銷，藉此精準控制機頭的轉向與穩定。
《》所謂「懸停」,係指高度狀態保持不變；「向後懸停」即無人直昇機向後移到另一特定位置，而且地面速度。高度及航向均保持不變。</v>
      </c>
      <c r="D858" s="2"/>
      <c r="E858" s="2"/>
      <c r="F858" s="2"/>
      <c r="G858" s="2"/>
      <c r="H858" s="2"/>
      <c r="I858" s="2"/>
    </row>
    <row r="859" spans="1:9" s="3" customFormat="1" ht="75">
      <c r="A859" s="4" t="str">
        <f>dB題庫!A136</f>
        <v>135</v>
      </c>
      <c r="B859" s="4" t="str">
        <f>dB題庫!B136</f>
        <v>無人直昇機「向後懸停飛行」,係指保持不變的下列哪種狀態</v>
      </c>
      <c r="C859" s="4" t="str">
        <f>A859&amp;"."&amp;B859</f>
        <v>135.無人直昇機「向後懸停飛行」,係指保持不變的下列哪種狀態</v>
      </c>
      <c r="D859" s="4" t="str">
        <f>dB題庫!C136</f>
        <v>地面速度。</v>
      </c>
      <c r="E859" s="4" t="str">
        <f>dB題庫!D136</f>
        <v>高度。</v>
      </c>
      <c r="F859" s="4" t="str">
        <f>dB題庫!E136</f>
        <v>航向。</v>
      </c>
      <c r="G859" s="4" t="str">
        <f>dB題庫!F136</f>
        <v>以上皆是。</v>
      </c>
      <c r="H859" s="4" t="str">
        <f>dB題庫!G136</f>
        <v>D.</v>
      </c>
      <c r="I859" s="4" t="str">
        <f>dB題庫!H136</f>
        <v>無人直昇機的主旋翼提供主要升力與前進推力，而主旋翼轉動時對機身產生的反作用扭力，必須由尾旋翼(Tail Rotor)產生的側向推力來完全抵銷，藉此精準控制機頭的轉向與穩定。
《》所謂「懸停」,係指高度狀態保持不變；「向後懸停」即無人直昇機向後移到另一特定位置，而且地面速度。高度及航向均保持不變。</v>
      </c>
    </row>
    <row r="860" spans="1:9" s="3" customFormat="1" ht="15">
      <c r="A860" s="2" t="s">
        <v>114</v>
      </c>
      <c r="B860" s="1"/>
      <c r="C860" s="7" t="str">
        <f>"(A.)"&amp;D859</f>
        <v>(A.)地面速度。</v>
      </c>
      <c r="D860" s="2"/>
      <c r="E860" s="2"/>
      <c r="F860" s="2"/>
      <c r="G860" s="2"/>
      <c r="H860" s="2"/>
      <c r="I860" s="2"/>
    </row>
    <row r="861" spans="1:9" s="3" customFormat="1" ht="15">
      <c r="A861" s="2"/>
      <c r="B861" s="1"/>
      <c r="C861" s="7" t="str">
        <f>"(B.)"&amp;E859</f>
        <v>(B.)高度。</v>
      </c>
      <c r="D861" s="2"/>
      <c r="E861" s="2"/>
      <c r="F861" s="2"/>
      <c r="G861" s="2"/>
      <c r="H861" s="2"/>
      <c r="I861" s="2"/>
    </row>
    <row r="862" spans="1:9" s="3" customFormat="1" ht="15">
      <c r="A862" s="2"/>
      <c r="B862" s="2"/>
      <c r="C862" s="7" t="str">
        <f>"(C.)"&amp;F859</f>
        <v>(C.)航向。</v>
      </c>
      <c r="D862" s="2"/>
      <c r="E862" s="2"/>
      <c r="F862" s="2"/>
      <c r="G862" s="2"/>
      <c r="H862" s="2"/>
      <c r="I862" s="2"/>
    </row>
    <row r="863" spans="1:9" s="3" customFormat="1" ht="15">
      <c r="A863" s="2"/>
      <c r="B863" s="2"/>
      <c r="C863" s="7" t="str">
        <f>"(D.)"&amp;G859</f>
        <v>(D.)以上皆是。</v>
      </c>
      <c r="D863" s="2"/>
      <c r="E863" s="2"/>
      <c r="F863" s="2"/>
      <c r="G863" s="2"/>
      <c r="H863" s="2"/>
      <c r="I863" s="2"/>
    </row>
    <row r="864" spans="1:9" s="3" customFormat="1" ht="15">
      <c r="A864" s="2"/>
      <c r="B864" s="2"/>
      <c r="C864" s="7" t="str">
        <f>"答案是： "&amp;IF(H859="A.",C860,IF(H859="B.",C861,IF(H859="C.",C862,IF(H859=("D."),C863,"XXXX"))))</f>
        <v>答案是： (D.)以上皆是。</v>
      </c>
      <c r="D864" s="2"/>
      <c r="E864" s="2"/>
      <c r="F864" s="2"/>
      <c r="G864" s="2"/>
      <c r="H864" s="2"/>
      <c r="I864" s="2"/>
    </row>
    <row r="865" spans="1:9" s="3" customFormat="1" ht="105">
      <c r="A865" s="2"/>
      <c r="B865" s="2"/>
      <c r="C865" s="7" t="str">
        <f>"說明："&amp;I859</f>
        <v>說明：無人直昇機的主旋翼提供主要升力與前進推力，而主旋翼轉動時對機身產生的反作用扭力，必須由尾旋翼(Tail Rotor)產生的側向推力來完全抵銷，藉此精準控制機頭的轉向與穩定。
《》所謂「懸停」,係指高度狀態保持不變；「向後懸停」即無人直昇機向後移到另一特定位置，而且地面速度。高度及航向均保持不變。</v>
      </c>
      <c r="D865" s="2"/>
      <c r="E865" s="2"/>
      <c r="F865" s="2"/>
      <c r="G865" s="2"/>
      <c r="H865" s="2"/>
      <c r="I865" s="2"/>
    </row>
    <row r="866" spans="1:9" s="3" customFormat="1" ht="75">
      <c r="A866" s="4" t="str">
        <f>dB題庫!A137</f>
        <v>136</v>
      </c>
      <c r="B866" s="4" t="str">
        <f>dB題庫!B137</f>
        <v>無人直昇機「平直飛行」,係指保持下列哪種狀態</v>
      </c>
      <c r="C866" s="4" t="str">
        <f>A866&amp;"."&amp;B866</f>
        <v>136.無人直昇機「平直飛行」,係指保持下列哪種狀態</v>
      </c>
      <c r="D866" s="4" t="str">
        <f>dB題庫!C137</f>
        <v>高度不變和航向不變。</v>
      </c>
      <c r="E866" s="4" t="str">
        <f>dB題庫!D137</f>
        <v>高度不變和地面速度不變。</v>
      </c>
      <c r="F866" s="4" t="str">
        <f>dB題庫!E137</f>
        <v>地面速度不變和航向不變。</v>
      </c>
      <c r="G866" s="4" t="str">
        <f>dB題庫!F137</f>
        <v>主旋翼轉速不變和航向不變。</v>
      </c>
      <c r="H866" s="4" t="str">
        <f>dB題庫!G137</f>
        <v>A.</v>
      </c>
      <c r="I866" s="4" t="str">
        <f>dB題庫!H137</f>
        <v>無人直昇機的主旋翼提供主要升力與前進推力，而主旋翼轉動時對機身產生的反作用扭力，必須由尾旋翼(Tail Rotor)產生的側向推力來完全抵銷，藉此精準控制機頭的轉向與穩定。
《》所謂「平直飛行」即無人直昇機向後移到另一特定位置，而且高度及航向均保持不變；不考慮速度。</v>
      </c>
    </row>
    <row r="867" spans="1:9" s="3" customFormat="1" ht="15">
      <c r="A867" s="2" t="s">
        <v>114</v>
      </c>
      <c r="B867" s="1"/>
      <c r="C867" s="7" t="str">
        <f>"(A.)"&amp;D866</f>
        <v>(A.)高度不變和航向不變。</v>
      </c>
      <c r="D867" s="2"/>
      <c r="E867" s="2"/>
      <c r="F867" s="2"/>
      <c r="G867" s="2"/>
      <c r="H867" s="2"/>
      <c r="I867" s="2"/>
    </row>
    <row r="868" spans="1:9" s="3" customFormat="1" ht="15">
      <c r="A868" s="2"/>
      <c r="B868" s="1"/>
      <c r="C868" s="7" t="str">
        <f>"(B.)"&amp;E866</f>
        <v>(B.)高度不變和地面速度不變。</v>
      </c>
      <c r="D868" s="2"/>
      <c r="E868" s="2"/>
      <c r="F868" s="2"/>
      <c r="G868" s="2"/>
      <c r="H868" s="2"/>
      <c r="I868" s="2"/>
    </row>
    <row r="869" spans="1:9" s="3" customFormat="1" ht="15">
      <c r="A869" s="2"/>
      <c r="B869" s="2"/>
      <c r="C869" s="7" t="str">
        <f>"(C.)"&amp;F866</f>
        <v>(C.)地面速度不變和航向不變。</v>
      </c>
      <c r="D869" s="2"/>
      <c r="E869" s="2"/>
      <c r="F869" s="2"/>
      <c r="G869" s="2"/>
      <c r="H869" s="2"/>
      <c r="I869" s="2"/>
    </row>
    <row r="870" spans="1:9" s="3" customFormat="1" ht="15">
      <c r="A870" s="2"/>
      <c r="B870" s="2"/>
      <c r="C870" s="7" t="str">
        <f>"(D.)"&amp;G866</f>
        <v>(D.)主旋翼轉速不變和航向不變。</v>
      </c>
      <c r="D870" s="2"/>
      <c r="E870" s="2"/>
      <c r="F870" s="2"/>
      <c r="G870" s="2"/>
      <c r="H870" s="2"/>
      <c r="I870" s="2"/>
    </row>
    <row r="871" spans="1:9" s="3" customFormat="1" ht="15">
      <c r="A871" s="2"/>
      <c r="B871" s="2"/>
      <c r="C871" s="7" t="str">
        <f>"答案是： "&amp;IF(H866="A.",C867,IF(H866="B.",C868,IF(H866="C.",C869,IF(H866=("D."),C870,"XXXX"))))</f>
        <v>答案是： (A.)高度不變和航向不變。</v>
      </c>
      <c r="D871" s="2"/>
      <c r="E871" s="2"/>
      <c r="F871" s="2"/>
      <c r="G871" s="2"/>
      <c r="H871" s="2"/>
      <c r="I871" s="2"/>
    </row>
    <row r="872" spans="1:9" s="3" customFormat="1" ht="105">
      <c r="A872" s="2"/>
      <c r="B872" s="2"/>
      <c r="C872" s="7" t="str">
        <f>"說明："&amp;I866</f>
        <v>說明：無人直昇機的主旋翼提供主要升力與前進推力，而主旋翼轉動時對機身產生的反作用扭力，必須由尾旋翼(Tail Rotor)產生的側向推力來完全抵銷，藉此精準控制機頭的轉向與穩定。
《》所謂「平直飛行」即無人直昇機向後移到另一特定位置，而且高度及航向均保持不變；不考慮速度。</v>
      </c>
      <c r="D872" s="2"/>
      <c r="E872" s="2"/>
      <c r="F872" s="2"/>
      <c r="G872" s="2"/>
      <c r="H872" s="2"/>
      <c r="I872" s="2"/>
    </row>
    <row r="873" spans="1:9" s="3" customFormat="1" ht="75">
      <c r="A873" s="4" t="str">
        <f>dB題庫!A138</f>
        <v>137</v>
      </c>
      <c r="B873" s="4" t="str">
        <f>dB題庫!B138</f>
        <v>無人直昇機「傾斜轉彎」,係指保持在向左或向右的傾斜狀態,保持下列哪種狀態之飛行</v>
      </c>
      <c r="C873" s="4" t="str">
        <f>A873&amp;"."&amp;B873</f>
        <v>137.無人直昇機「傾斜轉彎」,係指保持在向左或向右的傾斜狀態,保持下列哪種狀態之飛行</v>
      </c>
      <c r="D873" s="4" t="str">
        <f>dB題庫!C138</f>
        <v>高度不變和航向不變。</v>
      </c>
      <c r="E873" s="4" t="str">
        <f>dB題庫!D138</f>
        <v>高度改變,但航向不變。</v>
      </c>
      <c r="F873" s="4" t="str">
        <f>dB題庫!E138</f>
        <v>高度不變,但航向改變。</v>
      </c>
      <c r="G873" s="4" t="str">
        <f>dB題庫!F138</f>
        <v>高度改變和航向改變。</v>
      </c>
      <c r="H873" s="4" t="str">
        <f>dB題庫!G138</f>
        <v>C.</v>
      </c>
      <c r="I873" s="4" t="str">
        <f>dB題庫!H138</f>
        <v>無人直昇機的主旋翼提供主要升力與前進推力，而主旋翼轉動時對機身產生的反作用扭力，必須由尾旋翼(Tail Rotor)產生的側向推力來完全抵銷，藉此精準控制機頭的轉向與穩定。
《》所謂無人直昇機「傾斜轉彎」,係指保持在向左或向右的傾斜狀態；高度不變,但航向改變。</v>
      </c>
    </row>
    <row r="874" spans="1:9" s="3" customFormat="1" ht="15">
      <c r="A874" s="2" t="s">
        <v>114</v>
      </c>
      <c r="B874" s="1"/>
      <c r="C874" s="7" t="str">
        <f>"(A.)"&amp;D873</f>
        <v>(A.)高度不變和航向不變。</v>
      </c>
      <c r="D874" s="2"/>
      <c r="E874" s="2"/>
      <c r="F874" s="2"/>
      <c r="G874" s="2"/>
      <c r="H874" s="2"/>
      <c r="I874" s="2"/>
    </row>
    <row r="875" spans="1:9" s="3" customFormat="1" ht="15">
      <c r="A875" s="2"/>
      <c r="B875" s="1"/>
      <c r="C875" s="7" t="str">
        <f>"(B.)"&amp;E873</f>
        <v>(B.)高度改變,但航向不變。</v>
      </c>
      <c r="D875" s="2"/>
      <c r="E875" s="2"/>
      <c r="F875" s="2"/>
      <c r="G875" s="2"/>
      <c r="H875" s="2"/>
      <c r="I875" s="2"/>
    </row>
    <row r="876" spans="1:9" s="3" customFormat="1" ht="15">
      <c r="A876" s="2"/>
      <c r="B876" s="2"/>
      <c r="C876" s="7" t="str">
        <f>"(C.)"&amp;F873</f>
        <v>(C.)高度不變,但航向改變。</v>
      </c>
      <c r="D876" s="2"/>
      <c r="E876" s="2"/>
      <c r="F876" s="2"/>
      <c r="G876" s="2"/>
      <c r="H876" s="2"/>
      <c r="I876" s="2"/>
    </row>
    <row r="877" spans="1:9" s="3" customFormat="1" ht="15">
      <c r="A877" s="2"/>
      <c r="B877" s="2"/>
      <c r="C877" s="7" t="str">
        <f>"(D.)"&amp;G873</f>
        <v>(D.)高度改變和航向改變。</v>
      </c>
      <c r="D877" s="2"/>
      <c r="E877" s="2"/>
      <c r="F877" s="2"/>
      <c r="G877" s="2"/>
      <c r="H877" s="2"/>
      <c r="I877" s="2"/>
    </row>
    <row r="878" spans="1:9" s="3" customFormat="1" ht="15">
      <c r="A878" s="2"/>
      <c r="B878" s="2"/>
      <c r="C878" s="7" t="str">
        <f>"答案是： "&amp;IF(H873="A.",C874,IF(H873="B.",C875,IF(H873="C.",C876,IF(H873=("D."),C877,"XXXX"))))</f>
        <v>答案是： (C.)高度不變,但航向改變。</v>
      </c>
      <c r="D878" s="2"/>
      <c r="E878" s="2"/>
      <c r="F878" s="2"/>
      <c r="G878" s="2"/>
      <c r="H878" s="2"/>
      <c r="I878" s="2"/>
    </row>
    <row r="879" spans="1:9" s="3" customFormat="1" ht="105">
      <c r="A879" s="2"/>
      <c r="B879" s="2"/>
      <c r="C879" s="7" t="str">
        <f>"說明："&amp;I873</f>
        <v>說明：無人直昇機的主旋翼提供主要升力與前進推力，而主旋翼轉動時對機身產生的反作用扭力，必須由尾旋翼(Tail Rotor)產生的側向推力來完全抵銷，藉此精準控制機頭的轉向與穩定。
《》所謂無人直昇機「傾斜轉彎」,係指保持在向左或向右的傾斜狀態；高度不變,但航向改變。</v>
      </c>
      <c r="D879" s="2"/>
      <c r="E879" s="2"/>
      <c r="F879" s="2"/>
      <c r="G879" s="2"/>
      <c r="H879" s="2"/>
      <c r="I879" s="2"/>
    </row>
    <row r="880" spans="1:9" s="3" customFormat="1" ht="60">
      <c r="A880" s="4" t="str">
        <f>dB題庫!A139</f>
        <v>138</v>
      </c>
      <c r="B880" s="4" t="str">
        <f>dB題庫!B139</f>
        <v>無人直昇機「偏航」,係指利用尾旋翼推力執行下列哪種操縱</v>
      </c>
      <c r="C880" s="4" t="str">
        <f>A880&amp;"."&amp;B880</f>
        <v>138.無人直昇機「偏航」,係指利用尾旋翼推力執行下列哪種操縱</v>
      </c>
      <c r="D880" s="4" t="str">
        <f>dB題庫!C139</f>
        <v>改變高度。</v>
      </c>
      <c r="E880" s="4" t="str">
        <f>dB題庫!D139</f>
        <v>改變航向。</v>
      </c>
      <c r="F880" s="4" t="str">
        <f>dB題庫!E139</f>
        <v>改變地面速度。</v>
      </c>
      <c r="G880" s="4" t="str">
        <f>dB題庫!F139</f>
        <v>改變升力。</v>
      </c>
      <c r="H880" s="4" t="str">
        <f>dB題庫!G139</f>
        <v>B.</v>
      </c>
      <c r="I880" s="4" t="str">
        <f>dB題庫!H139</f>
        <v>無人直昇機的主旋翼提供主要升力與前進推力，而主旋翼轉動時對機身產生的反作用扭力，必須由尾旋翼(Tail Rotor)產生的側向推力來完全抵銷，藉此精準控制機頭的轉向與穩定。
《》無人直昇機「偏航」,係指利用尾旋翼推力執行改變航向的操縱。</v>
      </c>
    </row>
    <row r="881" spans="1:9" s="3" customFormat="1" ht="15">
      <c r="A881" s="2" t="s">
        <v>114</v>
      </c>
      <c r="B881" s="1"/>
      <c r="C881" s="7" t="str">
        <f>"(A.)"&amp;D880</f>
        <v>(A.)改變高度。</v>
      </c>
      <c r="D881" s="2"/>
      <c r="E881" s="2"/>
      <c r="F881" s="2"/>
      <c r="G881" s="2"/>
      <c r="H881" s="2"/>
      <c r="I881" s="2"/>
    </row>
    <row r="882" spans="1:9" s="3" customFormat="1" ht="15">
      <c r="A882" s="2"/>
      <c r="B882" s="1"/>
      <c r="C882" s="7" t="str">
        <f>"(B.)"&amp;E880</f>
        <v>(B.)改變航向。</v>
      </c>
      <c r="D882" s="2"/>
      <c r="E882" s="2"/>
      <c r="F882" s="2"/>
      <c r="G882" s="2"/>
      <c r="H882" s="2"/>
      <c r="I882" s="2"/>
    </row>
    <row r="883" spans="1:9" s="3" customFormat="1" ht="15">
      <c r="A883" s="2"/>
      <c r="B883" s="2"/>
      <c r="C883" s="7" t="str">
        <f>"(C.)"&amp;F880</f>
        <v>(C.)改變地面速度。</v>
      </c>
      <c r="D883" s="2"/>
      <c r="E883" s="2"/>
      <c r="F883" s="2"/>
      <c r="G883" s="2"/>
      <c r="H883" s="2"/>
      <c r="I883" s="2"/>
    </row>
    <row r="884" spans="1:9" s="3" customFormat="1" ht="15">
      <c r="A884" s="2"/>
      <c r="B884" s="2"/>
      <c r="C884" s="7" t="str">
        <f>"(D.)"&amp;G880</f>
        <v>(D.)改變升力。</v>
      </c>
      <c r="D884" s="2"/>
      <c r="E884" s="2"/>
      <c r="F884" s="2"/>
      <c r="G884" s="2"/>
      <c r="H884" s="2"/>
      <c r="I884" s="2"/>
    </row>
    <row r="885" spans="1:9" s="3" customFormat="1" ht="15">
      <c r="A885" s="2"/>
      <c r="B885" s="2"/>
      <c r="C885" s="7" t="str">
        <f>"答案是： "&amp;IF(H880="A.",C881,IF(H880="B.",C882,IF(H880="C.",C883,IF(H880=("D."),C884,"XXXX"))))</f>
        <v>答案是： (B.)改變航向。</v>
      </c>
      <c r="D885" s="2"/>
      <c r="E885" s="2"/>
      <c r="F885" s="2"/>
      <c r="G885" s="2"/>
      <c r="H885" s="2"/>
      <c r="I885" s="2"/>
    </row>
    <row r="886" spans="1:9" s="3" customFormat="1" ht="90">
      <c r="A886" s="2"/>
      <c r="B886" s="2"/>
      <c r="C886" s="7" t="str">
        <f>"說明："&amp;I880</f>
        <v>說明：無人直昇機的主旋翼提供主要升力與前進推力，而主旋翼轉動時對機身產生的反作用扭力，必須由尾旋翼(Tail Rotor)產生的側向推力來完全抵銷，藉此精準控制機頭的轉向與穩定。
《》無人直昇機「偏航」,係指利用尾旋翼推力執行改變航向的操縱。</v>
      </c>
      <c r="D886" s="2"/>
      <c r="E886" s="2"/>
      <c r="F886" s="2"/>
      <c r="G886" s="2"/>
      <c r="H886" s="2"/>
      <c r="I886" s="2"/>
    </row>
    <row r="887" spans="1:9" s="3" customFormat="1" ht="90">
      <c r="A887" s="4" t="str">
        <f>dB題庫!A140</f>
        <v>139</v>
      </c>
      <c r="B887" s="4" t="str">
        <f>dB題庫!B140</f>
        <v>無人多旋翼機可以下列哪種方式來做區分</v>
      </c>
      <c r="C887" s="4" t="str">
        <f>A887&amp;"."&amp;B887</f>
        <v>139.無人多旋翼機可以下列哪種方式來做區分</v>
      </c>
      <c r="D887" s="4" t="str">
        <f>dB題庫!C140</f>
        <v>旋翼數量。</v>
      </c>
      <c r="E887" s="4" t="str">
        <f>dB題庫!D140</f>
        <v>旋翼分布位置。</v>
      </c>
      <c r="F887" s="4" t="str">
        <f>dB題庫!E140</f>
        <v>旋翼是否能夠傾斜。</v>
      </c>
      <c r="G887" s="4" t="str">
        <f>dB題庫!F140</f>
        <v>以上皆可。</v>
      </c>
      <c r="H887" s="4" t="str">
        <f>dB題庫!G140</f>
        <v>D.</v>
      </c>
      <c r="I887" s="4" t="str">
        <f>dB題庫!H140</f>
        <v>《》無人多旋翼機設計特性直接影響了飛行器的推力配置、負載能力與飛行姿態控制方式。依據交通部民航局無人機考照學科規範，區分方式細節如下：
第1.旋翼數量：例如常見的四軸、六軸、八軸等多旋翼飛行器。
第2.旋翼分布位置：如十字型、同軸雙槳等不同的機臂與馬達配置。
第3.旋翼是否能夠傾斜：如傾斜旋翼機（Tiltrotor）設計，具備垂直起降與高速前飛的能力。</v>
      </c>
    </row>
    <row r="888" spans="1:9" s="3" customFormat="1" ht="15">
      <c r="A888" s="2" t="s">
        <v>114</v>
      </c>
      <c r="B888" s="1"/>
      <c r="C888" s="7" t="str">
        <f>"(A.)"&amp;D887</f>
        <v>(A.)旋翼數量。</v>
      </c>
      <c r="D888" s="2"/>
      <c r="E888" s="2"/>
      <c r="F888" s="2"/>
      <c r="G888" s="2"/>
      <c r="H888" s="2"/>
      <c r="I888" s="2"/>
    </row>
    <row r="889" spans="1:9" s="3" customFormat="1" ht="15">
      <c r="A889" s="2"/>
      <c r="B889" s="1"/>
      <c r="C889" s="7" t="str">
        <f>"(B.)"&amp;E887</f>
        <v>(B.)旋翼分布位置。</v>
      </c>
      <c r="D889" s="2"/>
      <c r="E889" s="2"/>
      <c r="F889" s="2"/>
      <c r="G889" s="2"/>
      <c r="H889" s="2"/>
      <c r="I889" s="2"/>
    </row>
    <row r="890" spans="1:9" s="3" customFormat="1" ht="15">
      <c r="A890" s="2"/>
      <c r="B890" s="2"/>
      <c r="C890" s="7" t="str">
        <f>"(C.)"&amp;F887</f>
        <v>(C.)旋翼是否能夠傾斜。</v>
      </c>
      <c r="D890" s="2"/>
      <c r="E890" s="2"/>
      <c r="F890" s="2"/>
      <c r="G890" s="2"/>
      <c r="H890" s="2"/>
      <c r="I890" s="2"/>
    </row>
    <row r="891" spans="1:9" s="3" customFormat="1" ht="15">
      <c r="A891" s="2"/>
      <c r="B891" s="2"/>
      <c r="C891" s="7" t="str">
        <f>"(D.)"&amp;G887</f>
        <v>(D.)以上皆可。</v>
      </c>
      <c r="D891" s="2"/>
      <c r="E891" s="2"/>
      <c r="F891" s="2"/>
      <c r="G891" s="2"/>
      <c r="H891" s="2"/>
      <c r="I891" s="2"/>
    </row>
    <row r="892" spans="1:9" s="3" customFormat="1" ht="15">
      <c r="A892" s="2"/>
      <c r="B892" s="2"/>
      <c r="C892" s="7" t="str">
        <f>"答案是： "&amp;IF(H887="A.",C888,IF(H887="B.",C889,IF(H887="C.",C890,IF(H887=("D."),C891,"XXXX"))))</f>
        <v>答案是： (D.)以上皆可。</v>
      </c>
      <c r="D892" s="2"/>
      <c r="E892" s="2"/>
      <c r="F892" s="2"/>
      <c r="G892" s="2"/>
      <c r="H892" s="2"/>
      <c r="I892" s="2"/>
    </row>
    <row r="893" spans="1:9" s="3" customFormat="1" ht="165">
      <c r="A893" s="2"/>
      <c r="B893" s="2"/>
      <c r="C893" s="7" t="str">
        <f>"說明："&amp;I887</f>
        <v>說明：《》無人多旋翼機設計特性直接影響了飛行器的推力配置、負載能力與飛行姿態控制方式。依據交通部民航局無人機考照學科規範，區分方式細節如下：
第1.旋翼數量：例如常見的四軸、六軸、八軸等多旋翼飛行器。
第2.旋翼分布位置：如十字型、同軸雙槳等不同的機臂與馬達配置。
第3.旋翼是否能夠傾斜：如傾斜旋翼機（Tiltrotor）設計，具備垂直起降與高速前飛的能力。</v>
      </c>
      <c r="D893" s="2"/>
      <c r="E893" s="2"/>
      <c r="F893" s="2"/>
      <c r="G893" s="2"/>
      <c r="H893" s="2"/>
      <c r="I893" s="2"/>
    </row>
    <row r="894" spans="1:9" s="3" customFormat="1" ht="45">
      <c r="A894" s="4" t="str">
        <f>dB題庫!A141</f>
        <v>140</v>
      </c>
      <c r="B894" s="4" t="str">
        <f>dB題庫!B141</f>
        <v>無人多旋翼機能夠垂直且穩定的執行下列哪種動作</v>
      </c>
      <c r="C894" s="4" t="str">
        <f>A894&amp;"."&amp;B894</f>
        <v>140.無人多旋翼機能夠垂直且穩定的執行下列哪種動作</v>
      </c>
      <c r="D894" s="4" t="str">
        <f>dB題庫!C141</f>
        <v>滾轉及水平平移。</v>
      </c>
      <c r="E894" s="4" t="str">
        <f>dB題庫!D141</f>
        <v>升降及偏航。</v>
      </c>
      <c r="F894" s="4" t="str">
        <f>dB題庫!E141</f>
        <v>偏航及水平平移。</v>
      </c>
      <c r="G894" s="4" t="str">
        <f>dB題庫!F141</f>
        <v>俯仰及水平平移。</v>
      </c>
      <c r="H894" s="4" t="str">
        <f>dB題庫!G141</f>
        <v>B.</v>
      </c>
      <c r="I894" s="4" t="str">
        <f>dB題庫!H141</f>
        <v>無人多旋翼機透過調整對稱排列的垂直旋翼間的相對轉速，來精準改變各軸出力，實現垂直升降、俯仰、滾轉與偏航。由於採用對稱、定距槳設計，能夠垂直且穩定的執行升降及偏航。</v>
      </c>
    </row>
    <row r="895" spans="1:9" s="3" customFormat="1" ht="15">
      <c r="A895" s="2" t="s">
        <v>114</v>
      </c>
      <c r="B895" s="1"/>
      <c r="C895" s="7" t="str">
        <f>"(A.)"&amp;D894</f>
        <v>(A.)滾轉及水平平移。</v>
      </c>
      <c r="D895" s="2"/>
      <c r="E895" s="2"/>
      <c r="F895" s="2"/>
      <c r="G895" s="2"/>
      <c r="H895" s="2"/>
      <c r="I895" s="2"/>
    </row>
    <row r="896" spans="1:9" s="3" customFormat="1" ht="15">
      <c r="A896" s="2"/>
      <c r="B896" s="1"/>
      <c r="C896" s="7" t="str">
        <f>"(B.)"&amp;E894</f>
        <v>(B.)升降及偏航。</v>
      </c>
      <c r="D896" s="2"/>
      <c r="E896" s="2"/>
      <c r="F896" s="2"/>
      <c r="G896" s="2"/>
      <c r="H896" s="2"/>
      <c r="I896" s="2"/>
    </row>
    <row r="897" spans="1:9" s="3" customFormat="1" ht="15">
      <c r="A897" s="2"/>
      <c r="B897" s="2"/>
      <c r="C897" s="7" t="str">
        <f>"(C.)"&amp;F894</f>
        <v>(C.)偏航及水平平移。</v>
      </c>
      <c r="D897" s="2"/>
      <c r="E897" s="2"/>
      <c r="F897" s="2"/>
      <c r="G897" s="2"/>
      <c r="H897" s="2"/>
      <c r="I897" s="2"/>
    </row>
    <row r="898" spans="1:9" s="3" customFormat="1" ht="15">
      <c r="A898" s="2"/>
      <c r="B898" s="2"/>
      <c r="C898" s="7" t="str">
        <f>"(D.)"&amp;G894</f>
        <v>(D.)俯仰及水平平移。</v>
      </c>
      <c r="D898" s="2"/>
      <c r="E898" s="2"/>
      <c r="F898" s="2"/>
      <c r="G898" s="2"/>
      <c r="H898" s="2"/>
      <c r="I898" s="2"/>
    </row>
    <row r="899" spans="1:9" s="3" customFormat="1" ht="15">
      <c r="A899" s="2"/>
      <c r="B899" s="2"/>
      <c r="C899" s="7" t="str">
        <f>"答案是： "&amp;IF(H894="A.",C895,IF(H894="B.",C896,IF(H894="C.",C897,IF(H894=("D."),C898,"XXXX"))))</f>
        <v>答案是： (B.)升降及偏航。</v>
      </c>
      <c r="D899" s="2"/>
      <c r="E899" s="2"/>
      <c r="F899" s="2"/>
      <c r="G899" s="2"/>
      <c r="H899" s="2"/>
      <c r="I899" s="2"/>
    </row>
    <row r="900" spans="1:9" s="3" customFormat="1" ht="60">
      <c r="A900" s="2"/>
      <c r="B900" s="2"/>
      <c r="C900" s="7" t="str">
        <f>"說明："&amp;I894</f>
        <v>說明：無人多旋翼機透過調整對稱排列的垂直旋翼間的相對轉速，來精準改變各軸出力，實現垂直升降、俯仰、滾轉與偏航。由於採用對稱、定距槳設計，能夠垂直且穩定的執行升降及偏航。</v>
      </c>
      <c r="D900" s="2"/>
      <c r="E900" s="2"/>
      <c r="F900" s="2"/>
      <c r="G900" s="2"/>
      <c r="H900" s="2"/>
      <c r="I900" s="2"/>
    </row>
    <row r="901" spans="1:9" s="3" customFormat="1" ht="60">
      <c r="A901" s="4" t="str">
        <f>dB題庫!A142</f>
        <v>141</v>
      </c>
      <c r="B901" s="4" t="str">
        <f>dB題庫!B142</f>
        <v>無人多旋翼機具備優秀的下列哪種能力是一般無人飛機望塵莫及的</v>
      </c>
      <c r="C901" s="4" t="str">
        <f>A901&amp;"."&amp;B901</f>
        <v>141.無人多旋翼機具備優秀的下列哪種能力是一般無人飛機望塵莫及的</v>
      </c>
      <c r="D901" s="4" t="str">
        <f>dB題庫!C142</f>
        <v>垂直起降能力。</v>
      </c>
      <c r="E901" s="4" t="str">
        <f>dB題庫!D142</f>
        <v>定點懸停能力。</v>
      </c>
      <c r="F901" s="4" t="str">
        <f>dB題庫!E142</f>
        <v>穩定升降及偏航。</v>
      </c>
      <c r="G901" s="4" t="str">
        <f>dB題庫!F142</f>
        <v>以上皆是。</v>
      </c>
      <c r="H901" s="4" t="str">
        <f>dB題庫!G142</f>
        <v>D.</v>
      </c>
      <c r="I901" s="4" t="str">
        <f>dB題庫!H142</f>
        <v>無人多旋翼機透過調整對稱排列的垂直旋翼間的相對轉速，來精準改變各軸出力，實現垂直升降、俯仰、滾轉與偏航。由於採用對稱、定距槳設計，大大簡化了機械結構並提升了操控的直接性與姿態平穩。
【】無人多旋翼機具有絶佳的操作性。</v>
      </c>
    </row>
    <row r="902" spans="1:9" s="3" customFormat="1" ht="15">
      <c r="A902" s="2" t="s">
        <v>114</v>
      </c>
      <c r="B902" s="1"/>
      <c r="C902" s="7" t="str">
        <f>"(A.)"&amp;D901</f>
        <v>(A.)垂直起降能力。</v>
      </c>
      <c r="D902" s="2"/>
      <c r="E902" s="2"/>
      <c r="F902" s="2"/>
      <c r="G902" s="2"/>
      <c r="H902" s="2"/>
      <c r="I902" s="2"/>
    </row>
    <row r="903" spans="1:9" s="3" customFormat="1" ht="15">
      <c r="A903" s="2"/>
      <c r="B903" s="1"/>
      <c r="C903" s="7" t="str">
        <f>"(B.)"&amp;E901</f>
        <v>(B.)定點懸停能力。</v>
      </c>
      <c r="D903" s="2"/>
      <c r="E903" s="2"/>
      <c r="F903" s="2"/>
      <c r="G903" s="2"/>
      <c r="H903" s="2"/>
      <c r="I903" s="2"/>
    </row>
    <row r="904" spans="1:9" s="3" customFormat="1" ht="15">
      <c r="A904" s="2"/>
      <c r="B904" s="2"/>
      <c r="C904" s="7" t="str">
        <f>"(C.)"&amp;F901</f>
        <v>(C.)穩定升降及偏航。</v>
      </c>
      <c r="D904" s="2"/>
      <c r="E904" s="2"/>
      <c r="F904" s="2"/>
      <c r="G904" s="2"/>
      <c r="H904" s="2"/>
      <c r="I904" s="2"/>
    </row>
    <row r="905" spans="1:9" s="3" customFormat="1" ht="15">
      <c r="A905" s="2"/>
      <c r="B905" s="2"/>
      <c r="C905" s="7" t="str">
        <f>"(D.)"&amp;G901</f>
        <v>(D.)以上皆是。</v>
      </c>
      <c r="D905" s="2"/>
      <c r="E905" s="2"/>
      <c r="F905" s="2"/>
      <c r="G905" s="2"/>
      <c r="H905" s="2"/>
      <c r="I905" s="2"/>
    </row>
    <row r="906" spans="1:9" s="3" customFormat="1" ht="15">
      <c r="A906" s="2"/>
      <c r="B906" s="2"/>
      <c r="C906" s="7" t="str">
        <f>"答案是： "&amp;IF(H901="A.",C902,IF(H901="B.",C903,IF(H901="C.",C904,IF(H901=("D."),C905,"XXXX"))))</f>
        <v>答案是： (D.)以上皆是。</v>
      </c>
      <c r="D906" s="2"/>
      <c r="E906" s="2"/>
      <c r="F906" s="2"/>
      <c r="G906" s="2"/>
      <c r="H906" s="2"/>
      <c r="I906" s="2"/>
    </row>
    <row r="907" spans="1:9" s="3" customFormat="1" ht="90">
      <c r="A907" s="2"/>
      <c r="B907" s="2"/>
      <c r="C907" s="7" t="str">
        <f>"說明："&amp;I901</f>
        <v>說明：無人多旋翼機透過調整對稱排列的垂直旋翼間的相對轉速，來精準改變各軸出力，實現垂直升降、俯仰、滾轉與偏航。由於採用對稱、定距槳設計，大大簡化了機械結構並提升了操控的直接性與姿態平穩。
【】無人多旋翼機具有絶佳的操作性。</v>
      </c>
      <c r="D907" s="2"/>
      <c r="E907" s="2"/>
      <c r="F907" s="2"/>
      <c r="G907" s="2"/>
      <c r="H907" s="2"/>
      <c r="I907" s="2"/>
    </row>
    <row r="908" spans="1:9" s="3" customFormat="1" ht="60">
      <c r="A908" s="4" t="str">
        <f>dB題庫!A143</f>
        <v>142</v>
      </c>
      <c r="B908" s="4" t="str">
        <f>dB題庫!B143</f>
        <v>無人多旋翼機的下列哪種旋翼設計使得操控簡單且直接</v>
      </c>
      <c r="C908" s="4" t="str">
        <f>A908&amp;"."&amp;B908</f>
        <v>142.無人多旋翼機的下列哪種旋翼設計使得操控簡單且直接</v>
      </c>
      <c r="D908" s="4" t="str">
        <f>dB題庫!C143</f>
        <v>參差配置的。</v>
      </c>
      <c r="E908" s="4" t="str">
        <f>dB題庫!D143</f>
        <v>對稱的。</v>
      </c>
      <c r="F908" s="4" t="str">
        <f>dB題庫!E143</f>
        <v>不對稱的。</v>
      </c>
      <c r="G908" s="4" t="str">
        <f>dB題庫!F143</f>
        <v>偏一邊的。</v>
      </c>
      <c r="H908" s="4" t="str">
        <f>dB題庫!G143</f>
        <v>B.</v>
      </c>
      <c r="I908" s="4" t="str">
        <f>dB題庫!H143</f>
        <v>無人多旋翼機透過調整對稱排列的垂直旋翼間的相對轉速，來精準改變各軸出力，實現垂直升降、俯仰、滾轉與偏航。由於採用對稱、定距槳設計，大大簡化了機械結構並提升了操控的直接性與姿態平穩。
【】無人多旋翼機對稱性的設計使得操控簡單且直接。</v>
      </c>
    </row>
    <row r="909" spans="1:9" s="3" customFormat="1" ht="15">
      <c r="A909" s="2" t="s">
        <v>114</v>
      </c>
      <c r="B909" s="1"/>
      <c r="C909" s="7" t="str">
        <f>"(A.)"&amp;D908</f>
        <v>(A.)參差配置的。</v>
      </c>
      <c r="D909" s="2"/>
      <c r="E909" s="2"/>
      <c r="F909" s="2"/>
      <c r="G909" s="2"/>
      <c r="H909" s="2"/>
      <c r="I909" s="2"/>
    </row>
    <row r="910" spans="1:9" s="3" customFormat="1" ht="15">
      <c r="A910" s="2"/>
      <c r="B910" s="1"/>
      <c r="C910" s="7" t="str">
        <f>"(B.)"&amp;E908</f>
        <v>(B.)對稱的。</v>
      </c>
      <c r="D910" s="2"/>
      <c r="E910" s="2"/>
      <c r="F910" s="2"/>
      <c r="G910" s="2"/>
      <c r="H910" s="2"/>
      <c r="I910" s="2"/>
    </row>
    <row r="911" spans="1:9" s="3" customFormat="1" ht="15">
      <c r="A911" s="2"/>
      <c r="B911" s="2"/>
      <c r="C911" s="7" t="str">
        <f>"(C.)"&amp;F908</f>
        <v>(C.)不對稱的。</v>
      </c>
      <c r="D911" s="2"/>
      <c r="E911" s="2"/>
      <c r="F911" s="2"/>
      <c r="G911" s="2"/>
      <c r="H911" s="2"/>
      <c r="I911" s="2"/>
    </row>
    <row r="912" spans="1:9" s="3" customFormat="1" ht="15">
      <c r="A912" s="2"/>
      <c r="B912" s="2"/>
      <c r="C912" s="7" t="str">
        <f>"(D.)"&amp;G908</f>
        <v>(D.)偏一邊的。</v>
      </c>
      <c r="D912" s="2"/>
      <c r="E912" s="2"/>
      <c r="F912" s="2"/>
      <c r="G912" s="2"/>
      <c r="H912" s="2"/>
      <c r="I912" s="2"/>
    </row>
    <row r="913" spans="1:9" s="3" customFormat="1" ht="15">
      <c r="A913" s="2"/>
      <c r="B913" s="2"/>
      <c r="C913" s="7" t="str">
        <f>"答案是： "&amp;IF(H908="A.",C909,IF(H908="B.",C910,IF(H908="C.",C911,IF(H908=("D."),C912,"XXXX"))))</f>
        <v>答案是： (B.)對稱的。</v>
      </c>
      <c r="D913" s="2"/>
      <c r="E913" s="2"/>
      <c r="F913" s="2"/>
      <c r="G913" s="2"/>
      <c r="H913" s="2"/>
      <c r="I913" s="2"/>
    </row>
    <row r="914" spans="1:9" s="3" customFormat="1" ht="105">
      <c r="A914" s="2"/>
      <c r="B914" s="2"/>
      <c r="C914" s="7" t="str">
        <f>"說明："&amp;I908</f>
        <v>說明：無人多旋翼機透過調整對稱排列的垂直旋翼間的相對轉速，來精準改變各軸出力，實現垂直升降、俯仰、滾轉與偏航。由於採用對稱、定距槳設計，大大簡化了機械結構並提升了操控的直接性與姿態平穩。
【】無人多旋翼機對稱性的設計使得操控簡單且直接。</v>
      </c>
      <c r="D914" s="2"/>
      <c r="E914" s="2"/>
      <c r="F914" s="2"/>
      <c r="G914" s="2"/>
      <c r="H914" s="2"/>
      <c r="I914" s="2"/>
    </row>
    <row r="915" spans="1:9" s="3" customFormat="1" ht="60">
      <c r="A915" s="4" t="str">
        <f>dB題庫!A144</f>
        <v>143</v>
      </c>
      <c r="B915" s="4" t="str">
        <f>dB題庫!B144</f>
        <v>定距槳無人多旋翼機與無人直昇機相比,在下列哪個方面有很大提升</v>
      </c>
      <c r="C915" s="4" t="str">
        <f>A915&amp;"."&amp;B915</f>
        <v>143.定距槳無人多旋翼機與無人直昇機相比,在下列哪個方面有很大提升</v>
      </c>
      <c r="D915" s="4" t="str">
        <f>dB題庫!C144</f>
        <v>機械設計結構。</v>
      </c>
      <c r="E915" s="4" t="str">
        <f>dB題庫!D144</f>
        <v>控制難度。</v>
      </c>
      <c r="F915" s="4" t="str">
        <f>dB題庫!E144</f>
        <v>姿態平穩。</v>
      </c>
      <c r="G915" s="4" t="str">
        <f>dB題庫!F144</f>
        <v>以上皆是。</v>
      </c>
      <c r="H915" s="4" t="str">
        <f>dB題庫!G144</f>
        <v>D.</v>
      </c>
      <c r="I915" s="4" t="str">
        <f>dB題庫!H144</f>
        <v>無人多旋翼機透過調整對稱排列的垂直旋翼間的相對轉速，來精準改變各軸出力，實現垂直升降、俯仰、滾轉與偏航。由於採用對稱、定距槳設計，大大簡化了機械結構並提升了操控的直接性與姿態平穩。
【】定距槳無人多旋翼機與無人直昇機相比,操控簡單且直接。</v>
      </c>
    </row>
    <row r="916" spans="1:9" s="3" customFormat="1" ht="15">
      <c r="A916" s="2" t="s">
        <v>114</v>
      </c>
      <c r="B916" s="1"/>
      <c r="C916" s="7" t="str">
        <f>"(A.)"&amp;D915</f>
        <v>(A.)機械設計結構。</v>
      </c>
      <c r="D916" s="2"/>
      <c r="E916" s="2"/>
      <c r="F916" s="2"/>
      <c r="G916" s="2"/>
      <c r="H916" s="2"/>
      <c r="I916" s="2"/>
    </row>
    <row r="917" spans="1:9" s="3" customFormat="1" ht="15">
      <c r="A917" s="2"/>
      <c r="B917" s="1"/>
      <c r="C917" s="7" t="str">
        <f>"(B.)"&amp;E915</f>
        <v>(B.)控制難度。</v>
      </c>
      <c r="D917" s="2"/>
      <c r="E917" s="2"/>
      <c r="F917" s="2"/>
      <c r="G917" s="2"/>
      <c r="H917" s="2"/>
      <c r="I917" s="2"/>
    </row>
    <row r="918" spans="1:9" s="3" customFormat="1" ht="15">
      <c r="A918" s="2"/>
      <c r="B918" s="2"/>
      <c r="C918" s="7" t="str">
        <f>"(C.)"&amp;F915</f>
        <v>(C.)姿態平穩。</v>
      </c>
      <c r="D918" s="2"/>
      <c r="E918" s="2"/>
      <c r="F918" s="2"/>
      <c r="G918" s="2"/>
      <c r="H918" s="2"/>
      <c r="I918" s="2"/>
    </row>
    <row r="919" spans="1:9" s="3" customFormat="1" ht="15">
      <c r="A919" s="2"/>
      <c r="B919" s="2"/>
      <c r="C919" s="7" t="str">
        <f>"(D.)"&amp;G915</f>
        <v>(D.)以上皆是。</v>
      </c>
      <c r="D919" s="2"/>
      <c r="E919" s="2"/>
      <c r="F919" s="2"/>
      <c r="G919" s="2"/>
      <c r="H919" s="2"/>
      <c r="I919" s="2"/>
    </row>
    <row r="920" spans="1:9" s="3" customFormat="1" ht="15">
      <c r="A920" s="2"/>
      <c r="B920" s="2"/>
      <c r="C920" s="7" t="str">
        <f>"答案是： "&amp;IF(H915="A.",C916,IF(H915="B.",C917,IF(H915="C.",C918,IF(H915=("D."),C919,"XXXX"))))</f>
        <v>答案是： (D.)以上皆是。</v>
      </c>
      <c r="D920" s="2"/>
      <c r="E920" s="2"/>
      <c r="F920" s="2"/>
      <c r="G920" s="2"/>
      <c r="H920" s="2"/>
      <c r="I920" s="2"/>
    </row>
    <row r="921" spans="1:9" s="3" customFormat="1" ht="105">
      <c r="A921" s="2"/>
      <c r="B921" s="2"/>
      <c r="C921" s="7" t="str">
        <f>"說明："&amp;I915</f>
        <v>說明：無人多旋翼機透過調整對稱排列的垂直旋翼間的相對轉速，來精準改變各軸出力，實現垂直升降、俯仰、滾轉與偏航。由於採用對稱、定距槳設計，大大簡化了機械結構並提升了操控的直接性與姿態平穩。
【】定距槳無人多旋翼機與無人直昇機相比,操控簡單且直接。</v>
      </c>
      <c r="D921" s="2"/>
      <c r="E921" s="2"/>
      <c r="F921" s="2"/>
      <c r="G921" s="2"/>
      <c r="H921" s="2"/>
      <c r="I921" s="2"/>
    </row>
    <row r="922" spans="1:9" s="3" customFormat="1" ht="60">
      <c r="A922" s="4" t="str">
        <f>dB題庫!A145</f>
        <v>144</v>
      </c>
      <c r="B922" s="4" t="str">
        <f>dB題庫!B145</f>
        <v>無人多旋翼機對飛行的影響是下列哪項</v>
      </c>
      <c r="C922" s="4" t="str">
        <f>A922&amp;"."&amp;B922</f>
        <v>144.無人多旋翼機對飛行的影響是下列哪項</v>
      </c>
      <c r="D922" s="4" t="str">
        <f>dB題庫!C145</f>
        <v>沒有影響。</v>
      </c>
      <c r="E922" s="4" t="str">
        <f>dB題庫!D145</f>
        <v>變得複雜。</v>
      </c>
      <c r="F922" s="4" t="str">
        <f>dB題庫!E145</f>
        <v>變得簡單。</v>
      </c>
      <c r="G922" s="4" t="str">
        <f>dB題庫!F145</f>
        <v>有時變得複雜,有時變得簡單。</v>
      </c>
      <c r="H922" s="4" t="str">
        <f>dB題庫!G145</f>
        <v>C.</v>
      </c>
      <c r="I922" s="4" t="str">
        <f>dB題庫!H145</f>
        <v>無人多旋翼機透過調整對稱排列的垂直旋翼間的相對轉速，來精準改變各軸出力，實現垂直升降、俯仰、滾轉與偏航。由於採用對稱、定距槳設計，大大簡化了機械結構並提升了操控的直接性與姿態平穩。
【】無人多旋翼機操控簡單且直接，讓活動變得簡單。。</v>
      </c>
    </row>
    <row r="923" spans="1:9" s="3" customFormat="1" ht="15">
      <c r="A923" s="2" t="s">
        <v>114</v>
      </c>
      <c r="B923" s="1"/>
      <c r="C923" s="7" t="str">
        <f>"(A.)"&amp;D922</f>
        <v>(A.)沒有影響。</v>
      </c>
      <c r="D923" s="2"/>
      <c r="E923" s="2"/>
      <c r="F923" s="2"/>
      <c r="G923" s="2"/>
      <c r="H923" s="2"/>
      <c r="I923" s="2"/>
    </row>
    <row r="924" spans="1:9" s="3" customFormat="1" ht="15">
      <c r="A924" s="2"/>
      <c r="B924" s="1"/>
      <c r="C924" s="7" t="str">
        <f>"(B.)"&amp;E922</f>
        <v>(B.)變得複雜。</v>
      </c>
      <c r="D924" s="2"/>
      <c r="E924" s="2"/>
      <c r="F924" s="2"/>
      <c r="G924" s="2"/>
      <c r="H924" s="2"/>
      <c r="I924" s="2"/>
    </row>
    <row r="925" spans="1:9" s="3" customFormat="1" ht="15">
      <c r="A925" s="2"/>
      <c r="B925" s="2"/>
      <c r="C925" s="7" t="str">
        <f>"(C.)"&amp;F922</f>
        <v>(C.)變得簡單。</v>
      </c>
      <c r="D925" s="2"/>
      <c r="E925" s="2"/>
      <c r="F925" s="2"/>
      <c r="G925" s="2"/>
      <c r="H925" s="2"/>
      <c r="I925" s="2"/>
    </row>
    <row r="926" spans="1:9" s="3" customFormat="1" ht="15">
      <c r="A926" s="2"/>
      <c r="B926" s="2"/>
      <c r="C926" s="7" t="str">
        <f>"(D.)"&amp;G922</f>
        <v>(D.)有時變得複雜,有時變得簡單。</v>
      </c>
      <c r="D926" s="2"/>
      <c r="E926" s="2"/>
      <c r="F926" s="2"/>
      <c r="G926" s="2"/>
      <c r="H926" s="2"/>
      <c r="I926" s="2"/>
    </row>
    <row r="927" spans="1:9" s="3" customFormat="1" ht="15">
      <c r="A927" s="2"/>
      <c r="B927" s="2"/>
      <c r="C927" s="7" t="str">
        <f>"答案是： "&amp;IF(H922="A.",C923,IF(H922="B.",C924,IF(H922="C.",C925,IF(H922=("D."),C926,"XXXX"))))</f>
        <v>答案是： (C.)變得簡單。</v>
      </c>
      <c r="D927" s="2"/>
      <c r="E927" s="2"/>
      <c r="F927" s="2"/>
      <c r="G927" s="2"/>
      <c r="H927" s="2"/>
      <c r="I927" s="2"/>
    </row>
    <row r="928" spans="1:9" s="3" customFormat="1" ht="105">
      <c r="A928" s="2"/>
      <c r="B928" s="2"/>
      <c r="C928" s="7" t="str">
        <f>"說明："&amp;I922</f>
        <v>說明：無人多旋翼機透過調整對稱排列的垂直旋翼間的相對轉速，來精準改變各軸出力，實現垂直升降、俯仰、滾轉與偏航。由於採用對稱、定距槳設計，大大簡化了機械結構並提升了操控的直接性與姿態平穩。
【】無人多旋翼機操控簡單且直接，讓活動變得簡單。。</v>
      </c>
      <c r="D928" s="2"/>
      <c r="E928" s="2"/>
      <c r="F928" s="2"/>
      <c r="G928" s="2"/>
      <c r="H928" s="2"/>
      <c r="I928" s="2"/>
    </row>
    <row r="929" spans="1:9" s="3" customFormat="1" ht="45">
      <c r="A929" s="4" t="str">
        <f>dB題庫!A146</f>
        <v>145</v>
      </c>
      <c r="B929" s="4" t="str">
        <f>dB題庫!B146</f>
        <v>無人多旋翼機同時增加或減少每個旋翼的升力,來實現下列哪種飛行狀態</v>
      </c>
      <c r="C929" s="4" t="str">
        <f>A929&amp;"."&amp;B929</f>
        <v>145.無人多旋翼機同時增加或減少每個旋翼的升力,來實現下列哪種飛行狀態</v>
      </c>
      <c r="D929" s="4" t="str">
        <f>dB題庫!C146</f>
        <v>垂直的升降姿態。</v>
      </c>
      <c r="E929" s="4" t="str">
        <f>dB題庫!D146</f>
        <v>俯仰的姿態。</v>
      </c>
      <c r="F929" s="4" t="str">
        <f>dB題庫!E146</f>
        <v>偏航的姿態。</v>
      </c>
      <c r="G929" s="4" t="str">
        <f>dB題庫!F146</f>
        <v>滾轉的姿態。</v>
      </c>
      <c r="H929" s="4" t="str">
        <f>dB題庫!G146</f>
        <v>A.</v>
      </c>
      <c r="I929" s="4" t="str">
        <f>dB題庫!H146</f>
        <v>無人多旋翼機同時增加或減少每個旋翼的升力（調整所有旋翼的轉速），主要是用來實現 垂直的升降姿態。同時增加轉速：總升力大於機體重量，使無人機垂直上升。同時減少轉速：總升力小於機體重量，使無人機垂直下降。</v>
      </c>
    </row>
    <row r="930" spans="1:9" s="3" customFormat="1" ht="15">
      <c r="A930" s="2" t="s">
        <v>114</v>
      </c>
      <c r="B930" s="1"/>
      <c r="C930" s="7" t="str">
        <f>"(A.)"&amp;D929</f>
        <v>(A.)垂直的升降姿態。</v>
      </c>
      <c r="D930" s="2"/>
      <c r="E930" s="2"/>
      <c r="F930" s="2"/>
      <c r="G930" s="2"/>
      <c r="H930" s="2"/>
      <c r="I930" s="2"/>
    </row>
    <row r="931" spans="1:9" s="3" customFormat="1" ht="15">
      <c r="A931" s="2"/>
      <c r="B931" s="1"/>
      <c r="C931" s="7" t="str">
        <f>"(B.)"&amp;E929</f>
        <v>(B.)俯仰的姿態。</v>
      </c>
      <c r="D931" s="2"/>
      <c r="E931" s="2"/>
      <c r="F931" s="2"/>
      <c r="G931" s="2"/>
      <c r="H931" s="2"/>
      <c r="I931" s="2"/>
    </row>
    <row r="932" spans="1:9" s="3" customFormat="1" ht="15">
      <c r="A932" s="2"/>
      <c r="B932" s="2"/>
      <c r="C932" s="7" t="str">
        <f>"(C.)"&amp;F929</f>
        <v>(C.)偏航的姿態。</v>
      </c>
      <c r="D932" s="2"/>
      <c r="E932" s="2"/>
      <c r="F932" s="2"/>
      <c r="G932" s="2"/>
      <c r="H932" s="2"/>
      <c r="I932" s="2"/>
    </row>
    <row r="933" spans="1:9" s="3" customFormat="1" ht="15">
      <c r="A933" s="2"/>
      <c r="B933" s="2"/>
      <c r="C933" s="7" t="str">
        <f>"(D.)"&amp;G929</f>
        <v>(D.)滾轉的姿態。</v>
      </c>
      <c r="D933" s="2"/>
      <c r="E933" s="2"/>
      <c r="F933" s="2"/>
      <c r="G933" s="2"/>
      <c r="H933" s="2"/>
      <c r="I933" s="2"/>
    </row>
    <row r="934" spans="1:9" s="3" customFormat="1" ht="15">
      <c r="A934" s="2"/>
      <c r="B934" s="2"/>
      <c r="C934" s="7" t="str">
        <f>"答案是： "&amp;IF(H929="A.",C930,IF(H929="B.",C931,IF(H929="C.",C932,IF(H929=("D."),C933,"XXXX"))))</f>
        <v>答案是： (A.)垂直的升降姿態。</v>
      </c>
      <c r="D934" s="2"/>
      <c r="E934" s="2"/>
      <c r="F934" s="2"/>
      <c r="G934" s="2"/>
      <c r="H934" s="2"/>
      <c r="I934" s="2"/>
    </row>
    <row r="935" spans="1:9" s="3" customFormat="1" ht="75">
      <c r="A935" s="2"/>
      <c r="B935" s="2"/>
      <c r="C935" s="7" t="str">
        <f>"說明："&amp;I929</f>
        <v>說明：無人多旋翼機同時增加或減少每個旋翼的升力（調整所有旋翼的轉速），主要是用來實現 垂直的升降姿態。同時增加轉速：總升力大於機體重量，使無人機垂直上升。同時減少轉速：總升力小於機體重量，使無人機垂直下降。</v>
      </c>
      <c r="D935" s="2"/>
      <c r="E935" s="2"/>
      <c r="F935" s="2"/>
      <c r="G935" s="2"/>
      <c r="H935" s="2"/>
      <c r="I935" s="2"/>
    </row>
    <row r="936" spans="1:9" s="3" customFormat="1" ht="45">
      <c r="A936" s="4" t="str">
        <f>dB題庫!A147</f>
        <v>146</v>
      </c>
      <c r="B936" s="4" t="str">
        <f>dB題庫!B147</f>
        <v>同時影響遙控無人機飛行性能與飛航安全的重要因素是下列哪些項目</v>
      </c>
      <c r="C936" s="4" t="str">
        <f>A936&amp;"."&amp;B936</f>
        <v>146.同時影響遙控無人機飛行性能與飛航安全的重要因素是下列哪些項目</v>
      </c>
      <c r="D936" s="4" t="str">
        <f>dB題庫!C147</f>
        <v>機體大小。</v>
      </c>
      <c r="E936" s="4" t="str">
        <f>dB題庫!D147</f>
        <v>電池容量。</v>
      </c>
      <c r="F936" s="4" t="str">
        <f>dB題庫!E147</f>
        <v>重量和重心位置。</v>
      </c>
      <c r="G936" s="4" t="str">
        <f>dB題庫!F147</f>
        <v>以上皆是。</v>
      </c>
      <c r="H936" s="4" t="str">
        <f>dB題庫!G147</f>
        <v>C.</v>
      </c>
      <c r="I936" s="4" t="str">
        <f>dB題庫!H147</f>
        <v>同時影響遙控無人機飛行性能與飛航安全的重要因素為重量和重心位置。若遙控無人機過重或重心超出允許範圍，將直接導致飛行不穩定、控制困難，甚至產生無法順利起降或失速墜毀等飛航安全問題。</v>
      </c>
    </row>
    <row r="937" spans="1:9" s="3" customFormat="1" ht="15">
      <c r="A937" s="2" t="s">
        <v>114</v>
      </c>
      <c r="B937" s="1"/>
      <c r="C937" s="7" t="str">
        <f>"(A.)"&amp;D936</f>
        <v>(A.)機體大小。</v>
      </c>
      <c r="D937" s="2"/>
      <c r="E937" s="2"/>
      <c r="F937" s="2"/>
      <c r="G937" s="2"/>
      <c r="H937" s="2"/>
      <c r="I937" s="2"/>
    </row>
    <row r="938" spans="1:9" s="3" customFormat="1" ht="15">
      <c r="A938" s="2"/>
      <c r="B938" s="1"/>
      <c r="C938" s="7" t="str">
        <f>"(B.)"&amp;E936</f>
        <v>(B.)電池容量。</v>
      </c>
      <c r="D938" s="2"/>
      <c r="E938" s="2"/>
      <c r="F938" s="2"/>
      <c r="G938" s="2"/>
      <c r="H938" s="2"/>
      <c r="I938" s="2"/>
    </row>
    <row r="939" spans="1:9" s="3" customFormat="1" ht="15">
      <c r="A939" s="2"/>
      <c r="B939" s="2"/>
      <c r="C939" s="7" t="str">
        <f>"(C.)"&amp;F936</f>
        <v>(C.)重量和重心位置。</v>
      </c>
      <c r="D939" s="2"/>
      <c r="E939" s="2"/>
      <c r="F939" s="2"/>
      <c r="G939" s="2"/>
      <c r="H939" s="2"/>
      <c r="I939" s="2"/>
    </row>
    <row r="940" spans="1:9" s="3" customFormat="1" ht="15">
      <c r="A940" s="2"/>
      <c r="B940" s="2"/>
      <c r="C940" s="7" t="str">
        <f>"(D.)"&amp;G936</f>
        <v>(D.)以上皆是。</v>
      </c>
      <c r="D940" s="2"/>
      <c r="E940" s="2"/>
      <c r="F940" s="2"/>
      <c r="G940" s="2"/>
      <c r="H940" s="2"/>
      <c r="I940" s="2"/>
    </row>
    <row r="941" spans="1:9" s="3" customFormat="1" ht="15">
      <c r="A941" s="2"/>
      <c r="B941" s="2"/>
      <c r="C941" s="7" t="str">
        <f>"答案是： "&amp;IF(H936="A.",C937,IF(H936="B.",C938,IF(H936="C.",C939,IF(H936=("D."),C940,"XXXX"))))</f>
        <v>答案是： (C.)重量和重心位置。</v>
      </c>
      <c r="D941" s="2"/>
      <c r="E941" s="2"/>
      <c r="F941" s="2"/>
      <c r="G941" s="2"/>
      <c r="H941" s="2"/>
      <c r="I941" s="2"/>
    </row>
    <row r="942" spans="1:9" s="3" customFormat="1" ht="75">
      <c r="A942" s="2"/>
      <c r="B942" s="2"/>
      <c r="C942" s="7" t="str">
        <f>"說明："&amp;I936</f>
        <v>說明：同時影響遙控無人機飛行性能與飛航安全的重要因素為重量和重心位置。若遙控無人機過重或重心超出允許範圍，將直接導致飛行不穩定、控制困難，甚至產生無法順利起降或失速墜毀等飛航安全問題。</v>
      </c>
      <c r="D942" s="2"/>
      <c r="E942" s="2"/>
      <c r="F942" s="2"/>
      <c r="G942" s="2"/>
      <c r="H942" s="2"/>
      <c r="I942" s="2"/>
    </row>
    <row r="943" spans="1:9" s="3" customFormat="1" ht="105">
      <c r="A943" s="4" t="str">
        <f>dB題庫!A148</f>
        <v>147</v>
      </c>
      <c r="B943" s="4" t="str">
        <f>dB題庫!B148</f>
        <v>操作人在飛行前應確認下列何者在合理範圍內</v>
      </c>
      <c r="C943" s="4" t="str">
        <f>A943&amp;"."&amp;B943</f>
        <v>147.操作人在飛行前應確認下列何者在合理範圍內</v>
      </c>
      <c r="D943" s="4" t="str">
        <f>dB題庫!C148</f>
        <v>重量。</v>
      </c>
      <c r="E943" s="4" t="str">
        <f>dB題庫!D148</f>
        <v>重心。</v>
      </c>
      <c r="F943" s="4" t="str">
        <f>dB題庫!E148</f>
        <v>酬載。</v>
      </c>
      <c r="G943" s="4" t="str">
        <f>dB題庫!F148</f>
        <v>以上皆是。</v>
      </c>
      <c r="H943" s="4" t="str">
        <f>dB題庫!G148</f>
        <v>D.</v>
      </c>
      <c r="I943" s="4" t="str">
        <f>dB題庫!H148</f>
        <v>此題考查基礎空氣動力學與無人機系統設計規範。無人機之重量與重心平衡(W&amp;B)是確保飛航安全與操作性能符合原廠諸元的核心關鍵，飛行前操作人必須精確掌握並確認其皆處於安全審慎的合理限制內。
【】飛行前必須確認的合理範圍包含：
(A.) 重量：確保總重符合機型限制，避免影響飛行性能與續航力。
(B.) 重心：確保重心位置在允許的平衡範圍內，避免機身失控或俯仰配平困難。
(C.) 酬載：確認裝載的設備或貨物重量沒有超過最大載重限制。</v>
      </c>
    </row>
    <row r="944" spans="1:9" s="3" customFormat="1" ht="15">
      <c r="A944" s="2" t="s">
        <v>114</v>
      </c>
      <c r="B944" s="1"/>
      <c r="C944" s="7" t="str">
        <f>"(A.)"&amp;D943</f>
        <v>(A.)重量。</v>
      </c>
      <c r="D944" s="2"/>
      <c r="E944" s="2"/>
      <c r="F944" s="2"/>
      <c r="G944" s="2"/>
      <c r="H944" s="2"/>
      <c r="I944" s="2"/>
    </row>
    <row r="945" spans="1:9" s="3" customFormat="1" ht="15">
      <c r="A945" s="2"/>
      <c r="B945" s="1"/>
      <c r="C945" s="7" t="str">
        <f>"(B.)"&amp;E943</f>
        <v>(B.)重心。</v>
      </c>
      <c r="D945" s="2"/>
      <c r="E945" s="2"/>
      <c r="F945" s="2"/>
      <c r="G945" s="2"/>
      <c r="H945" s="2"/>
      <c r="I945" s="2"/>
    </row>
    <row r="946" spans="1:9" s="3" customFormat="1" ht="15">
      <c r="A946" s="2"/>
      <c r="B946" s="2"/>
      <c r="C946" s="7" t="str">
        <f>"(C.)"&amp;F943</f>
        <v>(C.)酬載。</v>
      </c>
      <c r="D946" s="2"/>
      <c r="E946" s="2"/>
      <c r="F946" s="2"/>
      <c r="G946" s="2"/>
      <c r="H946" s="2"/>
      <c r="I946" s="2"/>
    </row>
    <row r="947" spans="1:9" s="3" customFormat="1" ht="15">
      <c r="A947" s="2"/>
      <c r="B947" s="2"/>
      <c r="C947" s="7" t="str">
        <f>"(D.)"&amp;G943</f>
        <v>(D.)以上皆是。</v>
      </c>
      <c r="D947" s="2"/>
      <c r="E947" s="2"/>
      <c r="F947" s="2"/>
      <c r="G947" s="2"/>
      <c r="H947" s="2"/>
      <c r="I947" s="2"/>
    </row>
    <row r="948" spans="1:9" s="3" customFormat="1" ht="15">
      <c r="A948" s="2"/>
      <c r="B948" s="2"/>
      <c r="C948" s="7" t="str">
        <f>"答案是： "&amp;IF(H943="A.",C944,IF(H943="B.",C945,IF(H943="C.",C946,IF(H943=("D."),C947,"XXXX"))))</f>
        <v>答案是： (D.)以上皆是。</v>
      </c>
      <c r="D948" s="2"/>
      <c r="E948" s="2"/>
      <c r="F948" s="2"/>
      <c r="G948" s="2"/>
      <c r="H948" s="2"/>
      <c r="I948" s="2"/>
    </row>
    <row r="949" spans="1:9" s="3" customFormat="1" ht="180">
      <c r="A949" s="2"/>
      <c r="B949" s="2"/>
      <c r="C949" s="7" t="str">
        <f>"說明："&amp;I943</f>
        <v>說明：此題考查基礎空氣動力學與無人機系統設計規範。無人機之重量與重心平衡(W&amp;B)是確保飛航安全與操作性能符合原廠諸元的核心關鍵，飛行前操作人必須精確掌握並確認其皆處於安全審慎的合理限制內。
【】飛行前必須確認的合理範圍包含：
(A.) 重量：確保總重符合機型限制，避免影響飛行性能與續航力。
(B.) 重心：確保重心位置在允許的平衡範圍內，避免機身失控或俯仰配平困難。
(C.) 酬載：確認裝載的設備或貨物重量沒有超過最大載重限制。</v>
      </c>
      <c r="D949" s="2"/>
      <c r="E949" s="2"/>
      <c r="F949" s="2"/>
      <c r="G949" s="2"/>
      <c r="H949" s="2"/>
      <c r="I949" s="2"/>
    </row>
    <row r="950" spans="1:9" s="3" customFormat="1" ht="90">
      <c r="A950" s="4" t="str">
        <f>dB題庫!A149</f>
        <v>148</v>
      </c>
      <c r="B950" s="4" t="str">
        <f>dB題庫!B149</f>
        <v>遙控無人機操作人在飛行前應詳細考量在下列哪種情況下可能降低飛行性能的載重因素</v>
      </c>
      <c r="C950" s="4" t="str">
        <f>A950&amp;"."&amp;B950</f>
        <v>148.遙控無人機操作人在飛行前應詳細考量在下列哪種情況下可能降低飛行性能的載重因素</v>
      </c>
      <c r="D950" s="4" t="str">
        <f>dB題庫!C149</f>
        <v>高海拔。</v>
      </c>
      <c r="E950" s="4" t="str">
        <f>dB題庫!D149</f>
        <v>高溫。</v>
      </c>
      <c r="F950" s="4" t="str">
        <f>dB題庫!E149</f>
        <v>高濕度。</v>
      </c>
      <c r="G950" s="4" t="str">
        <f>dB題庫!F149</f>
        <v>以上皆是。</v>
      </c>
      <c r="H950" s="4" t="str">
        <f>dB題庫!G149</f>
        <v>D.</v>
      </c>
      <c r="I950" s="4" t="str">
        <f>dB題庫!H149</f>
        <v>此題考查基礎空氣動力學與無人機系統設計規範。無人機之重量與重心平衡(W&amp;B.)是確保飛航安全與操作性能符合原廠諸元的核心關鍵，飛行前操作人必須精確掌握並確認其皆處於安全審慎的合理限制內。
《》遙控無人機操作人在飛行前，應詳細考量在高海拔、高溫以及高濕度的情況下可能降低飛行性能的載重因素。這些環境條件會導致空氣密度降低，使螺旋槳產生的升力減少，進而大幅影響遙控無人機的爬升率與超越障礙的能力。</v>
      </c>
    </row>
    <row r="951" spans="1:9" s="3" customFormat="1" ht="15">
      <c r="A951" s="2" t="s">
        <v>114</v>
      </c>
      <c r="B951" s="1"/>
      <c r="C951" s="7" t="str">
        <f>"(A.)"&amp;D950</f>
        <v>(A.)高海拔。</v>
      </c>
      <c r="D951" s="2"/>
      <c r="E951" s="2"/>
      <c r="F951" s="2"/>
      <c r="G951" s="2"/>
      <c r="H951" s="2"/>
      <c r="I951" s="2"/>
    </row>
    <row r="952" spans="1:9" s="3" customFormat="1" ht="15">
      <c r="A952" s="2"/>
      <c r="B952" s="1"/>
      <c r="C952" s="7" t="str">
        <f>"(B.)"&amp;E950</f>
        <v>(B.)高溫。</v>
      </c>
      <c r="D952" s="2"/>
      <c r="E952" s="2"/>
      <c r="F952" s="2"/>
      <c r="G952" s="2"/>
      <c r="H952" s="2"/>
      <c r="I952" s="2"/>
    </row>
    <row r="953" spans="1:9" s="3" customFormat="1" ht="15">
      <c r="A953" s="2"/>
      <c r="B953" s="2"/>
      <c r="C953" s="7" t="str">
        <f>"(C.)"&amp;F950</f>
        <v>(C.)高濕度。</v>
      </c>
      <c r="D953" s="2"/>
      <c r="E953" s="2"/>
      <c r="F953" s="2"/>
      <c r="G953" s="2"/>
      <c r="H953" s="2"/>
      <c r="I953" s="2"/>
    </row>
    <row r="954" spans="1:9" s="3" customFormat="1" ht="15">
      <c r="A954" s="2"/>
      <c r="B954" s="2"/>
      <c r="C954" s="7" t="str">
        <f>"(D.)"&amp;G950</f>
        <v>(D.)以上皆是。</v>
      </c>
      <c r="D954" s="2"/>
      <c r="E954" s="2"/>
      <c r="F954" s="2"/>
      <c r="G954" s="2"/>
      <c r="H954" s="2"/>
      <c r="I954" s="2"/>
    </row>
    <row r="955" spans="1:9" s="3" customFormat="1" ht="15">
      <c r="A955" s="2"/>
      <c r="B955" s="2"/>
      <c r="C955" s="7" t="str">
        <f>"答案是： "&amp;IF(H950="A.",C951,IF(H950="B.",C952,IF(H950="C.",C953,IF(H950=("D."),C954,"XXXX"))))</f>
        <v>答案是： (D.)以上皆是。</v>
      </c>
      <c r="D955" s="2"/>
      <c r="E955" s="2"/>
      <c r="F955" s="2"/>
      <c r="G955" s="2"/>
      <c r="H955" s="2"/>
      <c r="I955" s="2"/>
    </row>
    <row r="956" spans="1:9" s="3" customFormat="1" ht="150">
      <c r="A956" s="2"/>
      <c r="B956" s="2"/>
      <c r="C956" s="7" t="str">
        <f>"說明："&amp;I950</f>
        <v>說明：此題考查基礎空氣動力學與無人機系統設計規範。無人機之重量與重心平衡(W&amp;B.)是確保飛航安全與操作性能符合原廠諸元的核心關鍵，飛行前操作人必須精確掌握並確認其皆處於安全審慎的合理限制內。
《》遙控無人機操作人在飛行前，應詳細考量在高海拔、高溫以及高濕度的情況下可能降低飛行性能的載重因素。這些環境條件會導致空氣密度降低，使螺旋槳產生的升力減少，進而大幅影響遙控無人機的爬升率與超越障礙的能力。</v>
      </c>
      <c r="D956" s="2"/>
      <c r="E956" s="2"/>
      <c r="F956" s="2"/>
      <c r="G956" s="2"/>
      <c r="H956" s="2"/>
      <c r="I956" s="2"/>
    </row>
    <row r="957" spans="1:9" s="3" customFormat="1" ht="90">
      <c r="A957" s="4" t="str">
        <f>dB題庫!A150</f>
        <v>149</v>
      </c>
      <c r="B957" s="4" t="str">
        <f>dB題庫!B150</f>
        <v>遙控無人機重力的著力點稱為下列哪個項目</v>
      </c>
      <c r="C957" s="4" t="str">
        <f>A957&amp;"."&amp;B957</f>
        <v>149.遙控無人機重力的著力點稱為下列哪個項目</v>
      </c>
      <c r="D957" s="4" t="str">
        <f>dB題庫!C150</f>
        <v>形心。</v>
      </c>
      <c r="E957" s="4" t="str">
        <f>dB題庫!D150</f>
        <v>氣動力中心。</v>
      </c>
      <c r="F957" s="4" t="str">
        <f>dB題庫!E150</f>
        <v>重心。</v>
      </c>
      <c r="G957" s="4" t="str">
        <f>dB題庫!F150</f>
        <v>升力中心。</v>
      </c>
      <c r="H957" s="4" t="str">
        <f>dB題庫!G150</f>
        <v>C.</v>
      </c>
      <c r="I957" s="4" t="str">
        <f>dB題庫!H150</f>
        <v>此題考查基礎空氣動力學與無人機系統設計規範。無人機之重量與重心平衡(W&amp;B.)是確保飛航安全與操作性能符合原廠諸元的核心關鍵，飛行前操作人必須精確掌握並確認其皆處於安全審慎的合理限制內。
《》遙控無人機重力的著力點稱為重心（Center of Gravity, C.G.）。重心位置與飛行穩定性有極大的關聯，若超出允許的載重平衡範圍，極易導致無法穩定起飛、操控困難甚至失速墜毀。</v>
      </c>
    </row>
    <row r="958" spans="1:9" s="3" customFormat="1" ht="15">
      <c r="A958" s="2" t="s">
        <v>114</v>
      </c>
      <c r="B958" s="1"/>
      <c r="C958" s="7" t="str">
        <f>"(A.)"&amp;D957</f>
        <v>(A.)形心。</v>
      </c>
      <c r="D958" s="2"/>
      <c r="E958" s="2"/>
      <c r="F958" s="2"/>
      <c r="G958" s="2"/>
      <c r="H958" s="2"/>
      <c r="I958" s="2"/>
    </row>
    <row r="959" spans="1:9" s="3" customFormat="1" ht="15">
      <c r="A959" s="2"/>
      <c r="B959" s="1"/>
      <c r="C959" s="7" t="str">
        <f>"(B.)"&amp;E957</f>
        <v>(B.)氣動力中心。</v>
      </c>
      <c r="D959" s="2"/>
      <c r="E959" s="2"/>
      <c r="F959" s="2"/>
      <c r="G959" s="2"/>
      <c r="H959" s="2"/>
      <c r="I959" s="2"/>
    </row>
    <row r="960" spans="1:9" s="3" customFormat="1" ht="15">
      <c r="A960" s="2"/>
      <c r="B960" s="2"/>
      <c r="C960" s="7" t="str">
        <f>"(C.)"&amp;F957</f>
        <v>(C.)重心。</v>
      </c>
      <c r="D960" s="2"/>
      <c r="E960" s="2"/>
      <c r="F960" s="2"/>
      <c r="G960" s="2"/>
      <c r="H960" s="2"/>
      <c r="I960" s="2"/>
    </row>
    <row r="961" spans="1:9" s="3" customFormat="1" ht="15">
      <c r="A961" s="2"/>
      <c r="B961" s="2"/>
      <c r="C961" s="7" t="str">
        <f>"(D.)"&amp;G957</f>
        <v>(D.)升力中心。</v>
      </c>
      <c r="D961" s="2"/>
      <c r="E961" s="2"/>
      <c r="F961" s="2"/>
      <c r="G961" s="2"/>
      <c r="H961" s="2"/>
      <c r="I961" s="2"/>
    </row>
    <row r="962" spans="1:9" s="3" customFormat="1" ht="15">
      <c r="A962" s="2"/>
      <c r="B962" s="2"/>
      <c r="C962" s="7" t="str">
        <f>"答案是： "&amp;IF(H957="A.",C958,IF(H957="B.",C959,IF(H957="C.",C960,IF(H957=("D."),C961,"XXXX"))))</f>
        <v>答案是： (C.)重心。</v>
      </c>
      <c r="D962" s="2"/>
      <c r="E962" s="2"/>
      <c r="F962" s="2"/>
      <c r="G962" s="2"/>
      <c r="H962" s="2"/>
      <c r="I962" s="2"/>
    </row>
    <row r="963" spans="1:9" s="3" customFormat="1" ht="135">
      <c r="A963" s="2"/>
      <c r="B963" s="2"/>
      <c r="C963" s="7" t="str">
        <f>"說明："&amp;I957</f>
        <v>說明：此題考查基礎空氣動力學與無人機系統設計規範。無人機之重量與重心平衡(W&amp;B.)是確保飛航安全與操作性能符合原廠諸元的核心關鍵，飛行前操作人必須精確掌握並確認其皆處於安全審慎的合理限制內。
《》遙控無人機重力的著力點稱為重心（Center of Gravity, C.G.）。重心位置與飛行穩定性有極大的關聯，若超出允許的載重平衡範圍，極易導致無法穩定起飛、操控困難甚至失速墜毀。</v>
      </c>
      <c r="D963" s="2"/>
      <c r="E963" s="2"/>
      <c r="F963" s="2"/>
      <c r="G963" s="2"/>
      <c r="H963" s="2"/>
      <c r="I963" s="2"/>
    </row>
    <row r="964" spans="1:9" s="3" customFormat="1" ht="90">
      <c r="A964" s="4" t="str">
        <f>dB題庫!A151</f>
        <v>150</v>
      </c>
      <c r="B964" s="4" t="str">
        <f>dB題庫!B151</f>
        <v>遙控無人機的下列哪個項目與穩定性有很大的關聯</v>
      </c>
      <c r="C964" s="4" t="str">
        <f>A964&amp;"."&amp;B964</f>
        <v>150.遙控無人機的下列哪個項目與穩定性有很大的關聯</v>
      </c>
      <c r="D964" s="4" t="str">
        <f>dB題庫!C151</f>
        <v>外觀。</v>
      </c>
      <c r="E964" s="4" t="str">
        <f>dB題庫!D151</f>
        <v>重心。</v>
      </c>
      <c r="F964" s="4" t="str">
        <f>dB題庫!E151</f>
        <v>大小。</v>
      </c>
      <c r="G964" s="4" t="str">
        <f>dB題庫!F151</f>
        <v>顏色。</v>
      </c>
      <c r="H964" s="4" t="str">
        <f>dB題庫!G151</f>
        <v>B.</v>
      </c>
      <c r="I964" s="4" t="str">
        <f>dB題庫!H151</f>
        <v>此題考查基礎空氣動力學與無人機系統設計規範。無人機之重量與重心平衡(W&amp;B.)是確保飛航安全與操作性能符合原廠諸元的核心關鍵，飛行前操作人必須精確掌握並確認其皆處於安全審慎的合理限制內。
《》遙控無人機的重心（C.enter of GrA.vity, C..G.）與穩定性有極大的關聯。當機身的重心超出允許範圍時，會破壞飛行時的力學平衡，極易導致無人機無法穩定起飛、降落，甚至會發生失速、墜毀的危險。</v>
      </c>
    </row>
    <row r="965" spans="1:9" s="3" customFormat="1" ht="15">
      <c r="A965" s="2" t="s">
        <v>114</v>
      </c>
      <c r="B965" s="1"/>
      <c r="C965" s="7" t="str">
        <f>"(A.)"&amp;D964</f>
        <v>(A.)外觀。</v>
      </c>
      <c r="D965" s="2"/>
      <c r="E965" s="2"/>
      <c r="F965" s="2"/>
      <c r="G965" s="2"/>
      <c r="H965" s="2"/>
      <c r="I965" s="2"/>
    </row>
    <row r="966" spans="1:9" s="3" customFormat="1" ht="15">
      <c r="A966" s="2"/>
      <c r="B966" s="1"/>
      <c r="C966" s="7" t="str">
        <f>"(B.)"&amp;E964</f>
        <v>(B.)重心。</v>
      </c>
      <c r="D966" s="2"/>
      <c r="E966" s="2"/>
      <c r="F966" s="2"/>
      <c r="G966" s="2"/>
      <c r="H966" s="2"/>
      <c r="I966" s="2"/>
    </row>
    <row r="967" spans="1:9" s="3" customFormat="1" ht="15">
      <c r="A967" s="2"/>
      <c r="B967" s="2"/>
      <c r="C967" s="7" t="str">
        <f>"(C.)"&amp;F964</f>
        <v>(C.)大小。</v>
      </c>
      <c r="D967" s="2"/>
      <c r="E967" s="2"/>
      <c r="F967" s="2"/>
      <c r="G967" s="2"/>
      <c r="H967" s="2"/>
      <c r="I967" s="2"/>
    </row>
    <row r="968" spans="1:9" s="3" customFormat="1" ht="15">
      <c r="A968" s="2"/>
      <c r="B968" s="2"/>
      <c r="C968" s="7" t="str">
        <f>"(D.)"&amp;G964</f>
        <v>(D.)顏色。</v>
      </c>
      <c r="D968" s="2"/>
      <c r="E968" s="2"/>
      <c r="F968" s="2"/>
      <c r="G968" s="2"/>
      <c r="H968" s="2"/>
      <c r="I968" s="2"/>
    </row>
    <row r="969" spans="1:9" s="3" customFormat="1" ht="15">
      <c r="A969" s="2"/>
      <c r="B969" s="2"/>
      <c r="C969" s="7" t="str">
        <f>"答案是： "&amp;IF(H964="A.",C965,IF(H964="B.",C966,IF(H964="C.",C967,IF(H964=("D."),C968,"XXXX"))))</f>
        <v>答案是： (B.)重心。</v>
      </c>
      <c r="D969" s="2"/>
      <c r="E969" s="2"/>
      <c r="F969" s="2"/>
      <c r="G969" s="2"/>
      <c r="H969" s="2"/>
      <c r="I969" s="2"/>
    </row>
    <row r="970" spans="1:9" s="3" customFormat="1" ht="150">
      <c r="A970" s="2"/>
      <c r="B970" s="2"/>
      <c r="C970" s="7" t="str">
        <f>"說明："&amp;I964</f>
        <v>說明：此題考查基礎空氣動力學與無人機系統設計規範。無人機之重量與重心平衡(W&amp;B.)是確保飛航安全與操作性能符合原廠諸元的核心關鍵，飛行前操作人必須精確掌握並確認其皆處於安全審慎的合理限制內。
《》遙控無人機的重心（C.enter of GrA.vity, C..G.）與穩定性有極大的關聯。當機身的重心超出允許範圍時，會破壞飛行時的力學平衡，極易導致無人機無法穩定起飛、降落，甚至會發生失速、墜毀的危險。</v>
      </c>
      <c r="D970" s="2"/>
      <c r="E970" s="2"/>
      <c r="F970" s="2"/>
      <c r="G970" s="2"/>
      <c r="H970" s="2"/>
      <c r="I970" s="2"/>
    </row>
    <row r="971" spans="1:9" s="3" customFormat="1" ht="90">
      <c r="A971" s="4" t="str">
        <f>dB題庫!A152</f>
        <v>151</v>
      </c>
      <c r="B971" s="4" t="str">
        <f>dB題庫!B152</f>
        <v>當遙控無人機重心位置超出允許範圍時,可能導致遙控無人機發生下列哪種情形</v>
      </c>
      <c r="C971" s="4" t="str">
        <f>A971&amp;"."&amp;B971</f>
        <v>151.當遙控無人機重心位置超出允許範圍時,可能導致遙控無人機發生下列哪種情形</v>
      </c>
      <c r="D971" s="4" t="str">
        <f>dB題庫!C152</f>
        <v>無法穩定起飛。</v>
      </c>
      <c r="E971" s="4" t="str">
        <f>dB題庫!D152</f>
        <v>無法穩定落地。</v>
      </c>
      <c r="F971" s="4" t="str">
        <f>dB題庫!E152</f>
        <v>失速。</v>
      </c>
      <c r="G971" s="4" t="str">
        <f>dB題庫!F152</f>
        <v>以上皆是。</v>
      </c>
      <c r="H971" s="4" t="str">
        <f>dB題庫!G152</f>
        <v>D.</v>
      </c>
      <c r="I971" s="4" t="str">
        <f>dB題庫!H152</f>
        <v>此題考查基礎空氣動力學與無人機系統設計規範。無人機之重量與重心平衡(W&amp;B.)是確保飛航安全與操作性能符合原廠諸元的核心關鍵，飛行前操作人必須精確掌握並確認其皆處於安全審慎的合理限制內。
《》當遙控無人機的重心位置超出允許範圍時，會嚴重破壞機身的空氣動力平衡，可能導致無法穩定起飛、無法穩定落地、失速等情形。飛行前務必確認重量、重心及酬載皆在安全範圍內。</v>
      </c>
    </row>
    <row r="972" spans="1:9" s="3" customFormat="1" ht="15">
      <c r="A972" s="2" t="s">
        <v>114</v>
      </c>
      <c r="B972" s="1"/>
      <c r="C972" s="7" t="str">
        <f>"(A.)"&amp;D971</f>
        <v>(A.)無法穩定起飛。</v>
      </c>
      <c r="D972" s="2"/>
      <c r="E972" s="2"/>
      <c r="F972" s="2"/>
      <c r="G972" s="2"/>
      <c r="H972" s="2"/>
      <c r="I972" s="2"/>
    </row>
    <row r="973" spans="1:9" s="3" customFormat="1" ht="15">
      <c r="A973" s="2"/>
      <c r="B973" s="1"/>
      <c r="C973" s="7" t="str">
        <f>"(B.)"&amp;E971</f>
        <v>(B.)無法穩定落地。</v>
      </c>
      <c r="D973" s="2"/>
      <c r="E973" s="2"/>
      <c r="F973" s="2"/>
      <c r="G973" s="2"/>
      <c r="H973" s="2"/>
      <c r="I973" s="2"/>
    </row>
    <row r="974" spans="1:9" s="3" customFormat="1" ht="15">
      <c r="A974" s="2"/>
      <c r="B974" s="2"/>
      <c r="C974" s="7" t="str">
        <f>"(C.)"&amp;F971</f>
        <v>(C.)失速。</v>
      </c>
      <c r="D974" s="2"/>
      <c r="E974" s="2"/>
      <c r="F974" s="2"/>
      <c r="G974" s="2"/>
      <c r="H974" s="2"/>
      <c r="I974" s="2"/>
    </row>
    <row r="975" spans="1:9" s="3" customFormat="1" ht="15">
      <c r="A975" s="2"/>
      <c r="B975" s="2"/>
      <c r="C975" s="7" t="str">
        <f>"(D.)"&amp;G971</f>
        <v>(D.)以上皆是。</v>
      </c>
      <c r="D975" s="2"/>
      <c r="E975" s="2"/>
      <c r="F975" s="2"/>
      <c r="G975" s="2"/>
      <c r="H975" s="2"/>
      <c r="I975" s="2"/>
    </row>
    <row r="976" spans="1:9" s="3" customFormat="1" ht="15">
      <c r="A976" s="2"/>
      <c r="B976" s="2"/>
      <c r="C976" s="7" t="str">
        <f>"答案是： "&amp;IF(H971="A.",C972,IF(H971="B.",C973,IF(H971="C.",C974,IF(H971=("D."),C975,"XXXX"))))</f>
        <v>答案是： (D.)以上皆是。</v>
      </c>
      <c r="D976" s="2"/>
      <c r="E976" s="2"/>
      <c r="F976" s="2"/>
      <c r="G976" s="2"/>
      <c r="H976" s="2"/>
      <c r="I976" s="2"/>
    </row>
    <row r="977" spans="1:9" s="3" customFormat="1" ht="135">
      <c r="A977" s="2"/>
      <c r="B977" s="2"/>
      <c r="C977" s="7" t="str">
        <f>"說明："&amp;I971</f>
        <v>說明：此題考查基礎空氣動力學與無人機系統設計規範。無人機之重量與重心平衡(W&amp;B.)是確保飛航安全與操作性能符合原廠諸元的核心關鍵，飛行前操作人必須精確掌握並確認其皆處於安全審慎的合理限制內。
《》當遙控無人機的重心位置超出允許範圍時，會嚴重破壞機身的空氣動力平衡，可能導致無法穩定起飛、無法穩定落地、失速等情形。飛行前務必確認重量、重心及酬載皆在安全範圍內。</v>
      </c>
      <c r="D977" s="2"/>
      <c r="E977" s="2"/>
      <c r="F977" s="2"/>
      <c r="G977" s="2"/>
      <c r="H977" s="2"/>
      <c r="I977" s="2"/>
    </row>
    <row r="978" spans="1:9" s="3" customFormat="1" ht="105">
      <c r="A978" s="4" t="str">
        <f>dB題庫!A153</f>
        <v>152</v>
      </c>
      <c r="B978" s="4" t="str">
        <f>dB題庫!B153</f>
        <v>遙控無人機飛行時,為產生各種姿態,作用於機身上的力為下列哪種情形</v>
      </c>
      <c r="C978" s="4" t="str">
        <f>A978&amp;"."&amp;B978</f>
        <v>152.遙控無人機飛行時,為產生各種姿態,作用於機身上的力為下列哪種情形</v>
      </c>
      <c r="D978" s="4" t="str">
        <f>dB題庫!C153</f>
        <v>升力通常較重量為大。</v>
      </c>
      <c r="E978" s="4" t="str">
        <f>dB題庫!D153</f>
        <v>升力通常較重量為小。</v>
      </c>
      <c r="F978" s="4" t="str">
        <f>dB題庫!E153</f>
        <v>有時升力較大,有時重量較大。</v>
      </c>
      <c r="G978" s="4" t="str">
        <f>dB題庫!F153</f>
        <v>以上皆非。</v>
      </c>
      <c r="H978" s="4" t="str">
        <f>dB題庫!G153</f>
        <v>A.</v>
      </c>
      <c r="I978" s="4" t="str">
        <f>dB題庫!H153</f>
        <v>此題考查基礎空氣動力學與無人機系統設計規範。無人機之重量與重心平衡(W&amp;B)是確保飛航安全與操作性能符合原廠諸元的核心關鍵，飛行前操作人必須精確掌握並確認其皆處於安全審慎的合理限制內。
《》遙控無人機在飛行時，為了產生爬升、下降、傾斜或轉彎等各種不同的飛行姿態，作用於機身上的空氣動力（升力）通常需要克服並大於自身的重量。
在空氣動力學中，升力與重力的比值稱為「負載係數」，用以表達姿態動作的大小。</v>
      </c>
    </row>
    <row r="979" spans="1:9" s="3" customFormat="1" ht="15">
      <c r="A979" s="2" t="s">
        <v>114</v>
      </c>
      <c r="B979" s="1"/>
      <c r="C979" s="7" t="str">
        <f>"(A.)"&amp;D978</f>
        <v>(A.)升力通常較重量為大。</v>
      </c>
      <c r="D979" s="2"/>
      <c r="E979" s="2"/>
      <c r="F979" s="2"/>
      <c r="G979" s="2"/>
      <c r="H979" s="2"/>
      <c r="I979" s="2"/>
    </row>
    <row r="980" spans="1:9" s="3" customFormat="1" ht="15">
      <c r="A980" s="2"/>
      <c r="B980" s="1"/>
      <c r="C980" s="7" t="str">
        <f>"(B.)"&amp;E978</f>
        <v>(B.)升力通常較重量為小。</v>
      </c>
      <c r="D980" s="2"/>
      <c r="E980" s="2"/>
      <c r="F980" s="2"/>
      <c r="G980" s="2"/>
      <c r="H980" s="2"/>
      <c r="I980" s="2"/>
    </row>
    <row r="981" spans="1:9" s="3" customFormat="1" ht="15">
      <c r="A981" s="2"/>
      <c r="B981" s="2"/>
      <c r="C981" s="7" t="str">
        <f>"(C.)"&amp;F978</f>
        <v>(C.)有時升力較大,有時重量較大。</v>
      </c>
      <c r="D981" s="2"/>
      <c r="E981" s="2"/>
      <c r="F981" s="2"/>
      <c r="G981" s="2"/>
      <c r="H981" s="2"/>
      <c r="I981" s="2"/>
    </row>
    <row r="982" spans="1:9" s="3" customFormat="1" ht="15">
      <c r="A982" s="2"/>
      <c r="B982" s="2"/>
      <c r="C982" s="7" t="str">
        <f>"(D.)"&amp;G978</f>
        <v>(D.)以上皆非。</v>
      </c>
      <c r="D982" s="2"/>
      <c r="E982" s="2"/>
      <c r="F982" s="2"/>
      <c r="G982" s="2"/>
      <c r="H982" s="2"/>
      <c r="I982" s="2"/>
    </row>
    <row r="983" spans="1:9" s="3" customFormat="1" ht="15">
      <c r="A983" s="2"/>
      <c r="B983" s="2"/>
      <c r="C983" s="7" t="str">
        <f>"答案是： "&amp;IF(H978="A.",C979,IF(H978="B.",C980,IF(H978="C.",C981,IF(H978=("D."),C982,"XXXX"))))</f>
        <v>答案是： (A.)升力通常較重量為大。</v>
      </c>
      <c r="D983" s="2"/>
      <c r="E983" s="2"/>
      <c r="F983" s="2"/>
      <c r="G983" s="2"/>
      <c r="H983" s="2"/>
      <c r="I983" s="2"/>
    </row>
    <row r="984" spans="1:9" s="3" customFormat="1" ht="165">
      <c r="A984" s="2"/>
      <c r="B984" s="2"/>
      <c r="C984" s="7" t="str">
        <f>"說明："&amp;I978</f>
        <v>說明：此題考查基礎空氣動力學與無人機系統設計規範。無人機之重量與重心平衡(W&amp;B)是確保飛航安全與操作性能符合原廠諸元的核心關鍵，飛行前操作人必須精確掌握並確認其皆處於安全審慎的合理限制內。
《》遙控無人機在飛行時，為了產生爬升、下降、傾斜或轉彎等各種不同的飛行姿態，作用於機身上的空氣動力（升力）通常需要克服並大於自身的重量。
在空氣動力學中，升力與重力的比值稱為「負載係數」，用以表達姿態動作的大小。</v>
      </c>
      <c r="D984" s="2"/>
      <c r="E984" s="2"/>
      <c r="F984" s="2"/>
      <c r="G984" s="2"/>
      <c r="H984" s="2"/>
      <c r="I984" s="2"/>
    </row>
    <row r="985" spans="1:9" s="3" customFormat="1" ht="90">
      <c r="A985" s="4" t="str">
        <f>dB題庫!A154</f>
        <v>153</v>
      </c>
      <c r="B985" s="4" t="str">
        <f>dB題庫!B154</f>
        <v>遙控無人機的轉彎率因不同的速度而隨之不同,這是為了要抵銷所增加的下列哪種力,以保持負載係數不變</v>
      </c>
      <c r="C985" s="4" t="str">
        <f>A985&amp;"."&amp;B985</f>
        <v>153.遙控無人機的轉彎率因不同的速度而隨之不同,這是為了要抵銷所增加的下列哪種力,以保持負載係數不變</v>
      </c>
      <c r="D985" s="4" t="str">
        <f>dB題庫!C154</f>
        <v>向心力。</v>
      </c>
      <c r="E985" s="4" t="str">
        <f>dB題庫!D154</f>
        <v>離心力。</v>
      </c>
      <c r="F985" s="4" t="str">
        <f>dB題庫!E154</f>
        <v>正向力。</v>
      </c>
      <c r="G985" s="4" t="str">
        <f>dB題庫!F154</f>
        <v>扭力。</v>
      </c>
      <c r="H985" s="4" t="str">
        <f>dB題庫!G154</f>
        <v>B.</v>
      </c>
      <c r="I985" s="4" t="str">
        <f>dB題庫!H154</f>
        <v>此題考查基礎空氣動力學與無人機系統設計規範。無人機之重量與重心平衡(W&amp;B)是確保飛航安全與操作性能符合原廠諸元的核心關鍵，飛行前操作人必須精確掌握並確認其皆處於安全審慎的合理限制內。
《》為了要抵銷所增加的離心力。當無人機的速度增加時，為了保持固定的負載係數，必須調整轉彎率（通常是降低轉彎率）以抵銷隨速度增加而變大的離心力。</v>
      </c>
    </row>
    <row r="986" spans="1:9" s="3" customFormat="1" ht="15">
      <c r="A986" s="2" t="s">
        <v>114</v>
      </c>
      <c r="B986" s="1"/>
      <c r="C986" s="7" t="str">
        <f>"(A.)"&amp;D985</f>
        <v>(A.)向心力。</v>
      </c>
      <c r="D986" s="2"/>
      <c r="E986" s="2"/>
      <c r="F986" s="2"/>
      <c r="G986" s="2"/>
      <c r="H986" s="2"/>
      <c r="I986" s="2"/>
    </row>
    <row r="987" spans="1:9" s="3" customFormat="1" ht="15">
      <c r="A987" s="2"/>
      <c r="B987" s="1"/>
      <c r="C987" s="7" t="str">
        <f>"(B.)"&amp;E985</f>
        <v>(B.)離心力。</v>
      </c>
      <c r="D987" s="2"/>
      <c r="E987" s="2"/>
      <c r="F987" s="2"/>
      <c r="G987" s="2"/>
      <c r="H987" s="2"/>
      <c r="I987" s="2"/>
    </row>
    <row r="988" spans="1:9" s="3" customFormat="1" ht="15">
      <c r="A988" s="2"/>
      <c r="B988" s="2"/>
      <c r="C988" s="7" t="str">
        <f>"(C.)"&amp;F985</f>
        <v>(C.)正向力。</v>
      </c>
      <c r="D988" s="2"/>
      <c r="E988" s="2"/>
      <c r="F988" s="2"/>
      <c r="G988" s="2"/>
      <c r="H988" s="2"/>
      <c r="I988" s="2"/>
    </row>
    <row r="989" spans="1:9" s="3" customFormat="1" ht="15">
      <c r="A989" s="2"/>
      <c r="B989" s="2"/>
      <c r="C989" s="7" t="str">
        <f>"(D.)"&amp;G985</f>
        <v>(D.)扭力。</v>
      </c>
      <c r="D989" s="2"/>
      <c r="E989" s="2"/>
      <c r="F989" s="2"/>
      <c r="G989" s="2"/>
      <c r="H989" s="2"/>
      <c r="I989" s="2"/>
    </row>
    <row r="990" spans="1:9" s="3" customFormat="1" ht="15">
      <c r="A990" s="2"/>
      <c r="B990" s="2"/>
      <c r="C990" s="7" t="str">
        <f>"答案是： "&amp;IF(H985="A.",C986,IF(H985="B.",C987,IF(H985="C.",C988,IF(H985=("D."),C989,"XXXX"))))</f>
        <v>答案是： (B.)離心力。</v>
      </c>
      <c r="D990" s="2"/>
      <c r="E990" s="2"/>
      <c r="F990" s="2"/>
      <c r="G990" s="2"/>
      <c r="H990" s="2"/>
      <c r="I990" s="2"/>
    </row>
    <row r="991" spans="1:9" s="3" customFormat="1" ht="135">
      <c r="A991" s="2"/>
      <c r="B991" s="2"/>
      <c r="C991" s="7" t="str">
        <f>"說明："&amp;I985</f>
        <v>說明：此題考查基礎空氣動力學與無人機系統設計規範。無人機之重量與重心平衡(W&amp;B)是確保飛航安全與操作性能符合原廠諸元的核心關鍵，飛行前操作人必須精確掌握並確認其皆處於安全審慎的合理限制內。
《》為了要抵銷所增加的離心力。當無人機的速度增加時，為了保持固定的負載係數，必須調整轉彎率（通常是降低轉彎率）以抵銷隨速度增加而變大的離心力。</v>
      </c>
      <c r="D991" s="2"/>
      <c r="E991" s="2"/>
      <c r="F991" s="2"/>
      <c r="G991" s="2"/>
      <c r="H991" s="2"/>
      <c r="I991" s="2"/>
    </row>
    <row r="992" spans="1:9" s="3" customFormat="1" ht="90">
      <c r="A992" s="4" t="str">
        <f>dB題庫!A155</f>
        <v>154</v>
      </c>
      <c r="B992" s="4" t="str">
        <f>dB題庫!B155</f>
        <v>遙控無人機轉彎時,需執行下列哪個動作以補償升力的不足</v>
      </c>
      <c r="C992" s="4" t="str">
        <f>A992&amp;"."&amp;B992</f>
        <v>154.遙控無人機轉彎時,需執行下列哪個動作以補償升力的不足</v>
      </c>
      <c r="D992" s="4" t="str">
        <f>dB題庫!C155</f>
        <v>增加正向力。</v>
      </c>
      <c r="E992" s="4" t="str">
        <f>dB題庫!D155</f>
        <v>增加攻角。</v>
      </c>
      <c r="F992" s="4" t="str">
        <f>dB題庫!E155</f>
        <v>增加扭力。</v>
      </c>
      <c r="G992" s="4" t="str">
        <f>dB題庫!F155</f>
        <v>增加離心力。</v>
      </c>
      <c r="H992" s="4" t="str">
        <f>dB題庫!G155</f>
        <v>B.</v>
      </c>
      <c r="I992" s="4" t="str">
        <f>dB題庫!H155</f>
        <v>此題考查基礎空氣動力學與無人機系統設計規範。無人機之重量與重心平衡(W&amp;B)是確保飛航安全與操作性能符合原廠諸元的核心關鍵，飛行前操作人必須精確掌握並確認其皆處於安全審慎的合理限制內。
《》遙控無人機轉彎時，由於部分升力必須轉為向心力以維持轉彎軌跡，導致垂直方向的升力相對不足。為了補償此不足並保持高度，必須執行 增加攻角 的動作（如向後拉動升降舵桿），藉此提升機翼或旋翼產生的升力。</v>
      </c>
    </row>
    <row r="993" spans="1:9" s="3" customFormat="1" ht="15">
      <c r="A993" s="2" t="s">
        <v>114</v>
      </c>
      <c r="B993" s="1"/>
      <c r="C993" s="7" t="str">
        <f>"(A.)"&amp;D992</f>
        <v>(A.)增加正向力。</v>
      </c>
      <c r="D993" s="2"/>
      <c r="E993" s="2"/>
      <c r="F993" s="2"/>
      <c r="G993" s="2"/>
      <c r="H993" s="2"/>
      <c r="I993" s="2"/>
    </row>
    <row r="994" spans="1:9" s="3" customFormat="1" ht="15">
      <c r="A994" s="2"/>
      <c r="B994" s="1"/>
      <c r="C994" s="7" t="str">
        <f>"(B.)"&amp;E992</f>
        <v>(B.)增加攻角。</v>
      </c>
      <c r="D994" s="2"/>
      <c r="E994" s="2"/>
      <c r="F994" s="2"/>
      <c r="G994" s="2"/>
      <c r="H994" s="2"/>
      <c r="I994" s="2"/>
    </row>
    <row r="995" spans="1:9" s="3" customFormat="1" ht="15">
      <c r="A995" s="2"/>
      <c r="B995" s="2"/>
      <c r="C995" s="7" t="str">
        <f>"(C.)"&amp;F992</f>
        <v>(C.)增加扭力。</v>
      </c>
      <c r="D995" s="2"/>
      <c r="E995" s="2"/>
      <c r="F995" s="2"/>
      <c r="G995" s="2"/>
      <c r="H995" s="2"/>
      <c r="I995" s="2"/>
    </row>
    <row r="996" spans="1:9" s="3" customFormat="1" ht="15">
      <c r="A996" s="2"/>
      <c r="B996" s="2"/>
      <c r="C996" s="7" t="str">
        <f>"(D.)"&amp;G992</f>
        <v>(D.)增加離心力。</v>
      </c>
      <c r="D996" s="2"/>
      <c r="E996" s="2"/>
      <c r="F996" s="2"/>
      <c r="G996" s="2"/>
      <c r="H996" s="2"/>
      <c r="I996" s="2"/>
    </row>
    <row r="997" spans="1:9" s="3" customFormat="1" ht="15">
      <c r="A997" s="2"/>
      <c r="B997" s="2"/>
      <c r="C997" s="7" t="str">
        <f>"答案是： "&amp;IF(H992="A.",C993,IF(H992="B.",C994,IF(H992="C.",C995,IF(H992=("D."),C996,"XXXX"))))</f>
        <v>答案是： (B.)增加攻角。</v>
      </c>
      <c r="D997" s="2"/>
      <c r="E997" s="2"/>
      <c r="F997" s="2"/>
      <c r="G997" s="2"/>
      <c r="H997" s="2"/>
      <c r="I997" s="2"/>
    </row>
    <row r="998" spans="1:9" s="3" customFormat="1" ht="150">
      <c r="A998" s="2"/>
      <c r="B998" s="2"/>
      <c r="C998" s="7" t="str">
        <f>"說明："&amp;I992</f>
        <v>說明：此題考查基礎空氣動力學與無人機系統設計規範。無人機之重量與重心平衡(W&amp;B)是確保飛航安全與操作性能符合原廠諸元的核心關鍵，飛行前操作人必須精確掌握並確認其皆處於安全審慎的合理限制內。
《》遙控無人機轉彎時，由於部分升力必須轉為向心力以維持轉彎軌跡，導致垂直方向的升力相對不足。為了補償此不足並保持高度，必須執行 增加攻角 的動作（如向後拉動升降舵桿），藉此提升機翼或旋翼產生的升力。</v>
      </c>
      <c r="D998" s="2"/>
      <c r="E998" s="2"/>
      <c r="F998" s="2"/>
      <c r="G998" s="2"/>
      <c r="H998" s="2"/>
      <c r="I998" s="2"/>
    </row>
    <row r="999" spans="1:9" s="3" customFormat="1" ht="45">
      <c r="A999" s="4" t="str">
        <f>dB題庫!A156</f>
        <v>155</v>
      </c>
      <c r="B999" s="4" t="str">
        <f>dB題庫!B156</f>
        <v>無人飛機重心位置靠前時,為維持遙控無人機的俯仰平衡,需要尾翼提供下列哪種力</v>
      </c>
      <c r="C999" s="4" t="str">
        <f>A999&amp;"."&amp;B999</f>
        <v>155.無人飛機重心位置靠前時,為維持遙控無人機的俯仰平衡,需要尾翼提供下列哪種力</v>
      </c>
      <c r="D999" s="4" t="str">
        <f>dB題庫!C156</f>
        <v>更大的向前的推力。</v>
      </c>
      <c r="E999" s="4" t="str">
        <f>dB題庫!D156</f>
        <v>更大的向上的升力。</v>
      </c>
      <c r="F999" s="4" t="str">
        <f>dB題庫!E156</f>
        <v>更大的向下的升力。</v>
      </c>
      <c r="G999" s="4" t="str">
        <f>dB題庫!F156</f>
        <v>更大的向外的離心力。</v>
      </c>
      <c r="H999" s="4" t="str">
        <f>dB題庫!G156</f>
        <v>C.</v>
      </c>
      <c r="I999" s="4" t="str">
        <f>dB題庫!H156</f>
        <v>當重心靠前時，機頭沉重，需要尾翼產生更大的向下負升力來維持平衡。這會增大配平總阻力(誘導阻力增加)、導致油耗/電耗增加、降低航程，且在起飛時需要更高的速度且仰轉困難。</v>
      </c>
    </row>
    <row r="1000" spans="1:9" s="3" customFormat="1" ht="15">
      <c r="A1000" s="2" t="s">
        <v>114</v>
      </c>
      <c r="B1000" s="1"/>
      <c r="C1000" s="7" t="str">
        <f>"(A.)"&amp;D999</f>
        <v>(A.)更大的向前的推力。</v>
      </c>
      <c r="D1000" s="2"/>
      <c r="E1000" s="2"/>
      <c r="F1000" s="2"/>
      <c r="G1000" s="2"/>
      <c r="H1000" s="2"/>
      <c r="I1000" s="2"/>
    </row>
    <row r="1001" spans="1:9" s="3" customFormat="1" ht="15">
      <c r="A1001" s="2"/>
      <c r="B1001" s="1"/>
      <c r="C1001" s="7" t="str">
        <f>"(B.)"&amp;E999</f>
        <v>(B.)更大的向上的升力。</v>
      </c>
      <c r="D1001" s="2"/>
      <c r="E1001" s="2"/>
      <c r="F1001" s="2"/>
      <c r="G1001" s="2"/>
      <c r="H1001" s="2"/>
      <c r="I1001" s="2"/>
    </row>
    <row r="1002" spans="1:9" s="3" customFormat="1" ht="15">
      <c r="A1002" s="2"/>
      <c r="B1002" s="2"/>
      <c r="C1002" s="7" t="str">
        <f>"(C.)"&amp;F999</f>
        <v>(C.)更大的向下的升力。</v>
      </c>
      <c r="D1002" s="2"/>
      <c r="E1002" s="2"/>
      <c r="F1002" s="2"/>
      <c r="G1002" s="2"/>
      <c r="H1002" s="2"/>
      <c r="I1002" s="2"/>
    </row>
    <row r="1003" spans="1:9" s="3" customFormat="1" ht="15">
      <c r="A1003" s="2"/>
      <c r="B1003" s="2"/>
      <c r="C1003" s="7" t="str">
        <f>"(D.)"&amp;G999</f>
        <v>(D.)更大的向外的離心力。</v>
      </c>
      <c r="D1003" s="2"/>
      <c r="E1003" s="2"/>
      <c r="F1003" s="2"/>
      <c r="G1003" s="2"/>
      <c r="H1003" s="2"/>
      <c r="I1003" s="2"/>
    </row>
    <row r="1004" spans="1:9" s="3" customFormat="1" ht="15">
      <c r="A1004" s="2"/>
      <c r="B1004" s="2"/>
      <c r="C1004" s="7" t="str">
        <f>"答案是： "&amp;IF(H999="A.",C1000,IF(H999="B.",C1001,IF(H999="C.",C1002,IF(H999=("D."),C1003,"XXXX"))))</f>
        <v>答案是： (C.)更大的向下的升力。</v>
      </c>
      <c r="D1004" s="2"/>
      <c r="E1004" s="2"/>
      <c r="F1004" s="2"/>
      <c r="G1004" s="2"/>
      <c r="H1004" s="2"/>
      <c r="I1004" s="2"/>
    </row>
    <row r="1005" spans="1:9" s="3" customFormat="1" ht="60">
      <c r="A1005" s="2"/>
      <c r="B1005" s="2"/>
      <c r="C1005" s="7" t="str">
        <f>"說明："&amp;I999</f>
        <v>說明：當重心靠前時，機頭沉重，需要尾翼產生更大的向下負升力來維持平衡。這會增大配平總阻力(誘導阻力增加)、導致油耗/電耗增加、降低航程，且在起飛時需要更高的速度且仰轉困難。</v>
      </c>
      <c r="D1005" s="2"/>
      <c r="E1005" s="2"/>
      <c r="F1005" s="2"/>
      <c r="G1005" s="2"/>
      <c r="H1005" s="2"/>
      <c r="I1005" s="2"/>
    </row>
    <row r="1006" spans="1:9" s="3" customFormat="1" ht="135">
      <c r="A1006" s="4" t="str">
        <f>dB題庫!A157</f>
        <v>156</v>
      </c>
      <c r="B1006" s="4" t="str">
        <f>dB題庫!B157</f>
        <v>遙控無人機重心位置靠前時,機頭較為沉重,起飛離地時有下列哪種情形</v>
      </c>
      <c r="C1006" s="4" t="str">
        <f>A1006&amp;"."&amp;B1006</f>
        <v>156.遙控無人機重心位置靠前時,機頭較為沉重,起飛離地時有下列哪種情形</v>
      </c>
      <c r="D1006" s="4" t="str">
        <f>dB題庫!C157</f>
        <v>較為困難。</v>
      </c>
      <c r="E1006" s="4" t="str">
        <f>dB題庫!D157</f>
        <v>較為容易。</v>
      </c>
      <c r="F1006" s="4" t="str">
        <f>dB題庫!E157</f>
        <v>有時容易有時困難。</v>
      </c>
      <c r="G1006" s="4" t="str">
        <f>dB題庫!F157</f>
        <v>以上皆非。</v>
      </c>
      <c r="H1006" s="4" t="str">
        <f>dB題庫!G157</f>
        <v>A.</v>
      </c>
      <c r="I1006" s="4" t="str">
        <f>dB題庫!H157</f>
        <v>當重心靠前時，機頭沉重，需要尾翼產生更大的向下負升力來維持平衡。這會增大配平總阻力(誘導阻力增加)、導致油耗/電耗增加、降低航程，且在起飛時需要更高的速度且仰轉困難。
《》遙控無人機重心位置靠前（機頭較沉）時，起飛仰轉時會較為困難。因重心前移會使機頭重量增加，需要尾翼提供更大的向下升力來維持俯仰平衡。
在起飛離地時，會發生下列情形：起飛仰轉困難：由於機頭沉重，拉桿抬起機頭時需要更大的力矩。阻力與油耗增加：為了保持飛行速度，必須增加發動機推力，導致失速速度上升及誘導阻力增大。進場風險提高：在低速狀態下，配平可能不足以穩定強烈的俯仰姿態，進而提高不穩定進場的風險。</v>
      </c>
    </row>
    <row r="1007" spans="1:9" s="3" customFormat="1" ht="15">
      <c r="A1007" s="2" t="s">
        <v>114</v>
      </c>
      <c r="B1007" s="1"/>
      <c r="C1007" s="7" t="str">
        <f>"(A.)"&amp;D1006</f>
        <v>(A.)較為困難。</v>
      </c>
      <c r="D1007" s="2"/>
      <c r="E1007" s="2"/>
      <c r="F1007" s="2"/>
      <c r="G1007" s="2"/>
      <c r="H1007" s="2"/>
      <c r="I1007" s="2"/>
    </row>
    <row r="1008" spans="1:9" s="3" customFormat="1" ht="15">
      <c r="A1008" s="2"/>
      <c r="B1008" s="1"/>
      <c r="C1008" s="7" t="str">
        <f>"(B.)"&amp;E1006</f>
        <v>(B.)較為容易。</v>
      </c>
      <c r="D1008" s="2"/>
      <c r="E1008" s="2"/>
      <c r="F1008" s="2"/>
      <c r="G1008" s="2"/>
      <c r="H1008" s="2"/>
      <c r="I1008" s="2"/>
    </row>
    <row r="1009" spans="1:9" s="3" customFormat="1" ht="15">
      <c r="A1009" s="2"/>
      <c r="B1009" s="2"/>
      <c r="C1009" s="7" t="str">
        <f>"(C.)"&amp;F1006</f>
        <v>(C.)有時容易有時困難。</v>
      </c>
      <c r="D1009" s="2"/>
      <c r="E1009" s="2"/>
      <c r="F1009" s="2"/>
      <c r="G1009" s="2"/>
      <c r="H1009" s="2"/>
      <c r="I1009" s="2"/>
    </row>
    <row r="1010" spans="1:9" s="3" customFormat="1" ht="15">
      <c r="A1010" s="2"/>
      <c r="B1010" s="2"/>
      <c r="C1010" s="7" t="str">
        <f>"(D.)"&amp;G1006</f>
        <v>(D.)以上皆非。</v>
      </c>
      <c r="D1010" s="2"/>
      <c r="E1010" s="2"/>
      <c r="F1010" s="2"/>
      <c r="G1010" s="2"/>
      <c r="H1010" s="2"/>
      <c r="I1010" s="2"/>
    </row>
    <row r="1011" spans="1:9" s="3" customFormat="1" ht="15">
      <c r="A1011" s="2"/>
      <c r="B1011" s="2"/>
      <c r="C1011" s="7" t="str">
        <f>"答案是： "&amp;IF(H1006="A.",C1007,IF(H1006="B.",C1008,IF(H1006="C.",C1009,IF(H1006=("D."),C1010,"XXXX"))))</f>
        <v>答案是： (A.)較為困難。</v>
      </c>
      <c r="D1011" s="2"/>
      <c r="E1011" s="2"/>
      <c r="F1011" s="2"/>
      <c r="G1011" s="2"/>
      <c r="H1011" s="2"/>
      <c r="I1011" s="2"/>
    </row>
    <row r="1012" spans="1:9" s="3" customFormat="1" ht="225">
      <c r="A1012" s="2"/>
      <c r="B1012" s="2"/>
      <c r="C1012" s="7" t="str">
        <f>"說明："&amp;I1006</f>
        <v>說明：當重心靠前時，機頭沉重，需要尾翼產生更大的向下負升力來維持平衡。這會增大配平總阻力(誘導阻力增加)、導致油耗/電耗增加、降低航程，且在起飛時需要更高的速度且仰轉困難。
《》遙控無人機重心位置靠前（機頭較沉）時，起飛仰轉時會較為困難。因重心前移會使機頭重量增加，需要尾翼提供更大的向下升力來維持俯仰平衡。
在起飛離地時，會發生下列情形：起飛仰轉困難：由於機頭沉重，拉桿抬起機頭時需要更大的力矩。阻力與油耗增加：為了保持飛行速度，必須增加發動機推力，導致失速速度上升及誘導阻力增大。進場風險提高：在低速狀態下，配平可能不足以穩定強烈的俯仰姿態，進而提高不穩定進場的風險。</v>
      </c>
      <c r="D1012" s="2"/>
      <c r="E1012" s="2"/>
      <c r="F1012" s="2"/>
      <c r="G1012" s="2"/>
      <c r="H1012" s="2"/>
      <c r="I1012" s="2"/>
    </row>
    <row r="1013" spans="1:9" s="3" customFormat="1" ht="45">
      <c r="A1013" s="4" t="str">
        <f>dB題庫!A158</f>
        <v>157</v>
      </c>
      <c r="B1013" s="4" t="str">
        <f>dB題庫!B158</f>
        <v>無人飛機重心位置靠前時,會有下列哪種情形</v>
      </c>
      <c r="C1013" s="4" t="str">
        <f>A1013&amp;"."&amp;B1013</f>
        <v>157.無人飛機重心位置靠前時,會有下列哪種情形</v>
      </c>
      <c r="D1013" s="4" t="str">
        <f>dB題庫!C158</f>
        <v>減少誘導阻力。</v>
      </c>
      <c r="E1013" s="4" t="str">
        <f>dB題庫!D158</f>
        <v>增大誘導阻力。</v>
      </c>
      <c r="F1013" s="4" t="str">
        <f>dB題庫!E158</f>
        <v>誘導阻力不變。</v>
      </c>
      <c r="G1013" s="4" t="str">
        <f>dB題庫!F158</f>
        <v>以上皆非。</v>
      </c>
      <c r="H1013" s="4" t="str">
        <f>dB題庫!G158</f>
        <v>B.</v>
      </c>
      <c r="I1013" s="4" t="str">
        <f>dB題庫!H158</f>
        <v>當重心靠前時，機頭沉重，需要尾翼產生更大的向下負升力來維持平衡。這會增大配平總阻力(誘導阻力增加)、導致油耗/電耗增加、降低航程，且在起飛時需要更高的速度且仰轉困難。</v>
      </c>
    </row>
    <row r="1014" spans="1:9" s="3" customFormat="1" ht="15">
      <c r="A1014" s="2" t="s">
        <v>114</v>
      </c>
      <c r="B1014" s="1"/>
      <c r="C1014" s="7" t="str">
        <f>"(A.)"&amp;D1013</f>
        <v>(A.)減少誘導阻力。</v>
      </c>
      <c r="D1014" s="2"/>
      <c r="E1014" s="2"/>
      <c r="F1014" s="2"/>
      <c r="G1014" s="2"/>
      <c r="H1014" s="2"/>
      <c r="I1014" s="2"/>
    </row>
    <row r="1015" spans="1:9" s="3" customFormat="1" ht="15">
      <c r="A1015" s="2"/>
      <c r="B1015" s="1"/>
      <c r="C1015" s="7" t="str">
        <f>"(B.)"&amp;E1013</f>
        <v>(B.)增大誘導阻力。</v>
      </c>
      <c r="D1015" s="2"/>
      <c r="E1015" s="2"/>
      <c r="F1015" s="2"/>
      <c r="G1015" s="2"/>
      <c r="H1015" s="2"/>
      <c r="I1015" s="2"/>
    </row>
    <row r="1016" spans="1:9" s="3" customFormat="1" ht="15">
      <c r="A1016" s="2"/>
      <c r="B1016" s="2"/>
      <c r="C1016" s="7" t="str">
        <f>"(C.)"&amp;F1013</f>
        <v>(C.)誘導阻力不變。</v>
      </c>
      <c r="D1016" s="2"/>
      <c r="E1016" s="2"/>
      <c r="F1016" s="2"/>
      <c r="G1016" s="2"/>
      <c r="H1016" s="2"/>
      <c r="I1016" s="2"/>
    </row>
    <row r="1017" spans="1:9" s="3" customFormat="1" ht="15">
      <c r="A1017" s="2"/>
      <c r="B1017" s="2"/>
      <c r="C1017" s="7" t="str">
        <f>"(D.)"&amp;G1013</f>
        <v>(D.)以上皆非。</v>
      </c>
      <c r="D1017" s="2"/>
      <c r="E1017" s="2"/>
      <c r="F1017" s="2"/>
      <c r="G1017" s="2"/>
      <c r="H1017" s="2"/>
      <c r="I1017" s="2"/>
    </row>
    <row r="1018" spans="1:9" s="3" customFormat="1" ht="15">
      <c r="A1018" s="2"/>
      <c r="B1018" s="2"/>
      <c r="C1018" s="7" t="str">
        <f>"答案是： "&amp;IF(H1013="A.",C1014,IF(H1013="B.",C1015,IF(H1013="C.",C1016,IF(H1013=("D."),C1017,"XXXX"))))</f>
        <v>答案是： (B.)增大誘導阻力。</v>
      </c>
      <c r="D1018" s="2"/>
      <c r="E1018" s="2"/>
      <c r="F1018" s="2"/>
      <c r="G1018" s="2"/>
      <c r="H1018" s="2"/>
      <c r="I1018" s="2"/>
    </row>
    <row r="1019" spans="1:9" s="3" customFormat="1" ht="60">
      <c r="A1019" s="2"/>
      <c r="B1019" s="2"/>
      <c r="C1019" s="7" t="str">
        <f>"說明："&amp;I1013</f>
        <v>說明：當重心靠前時，機頭沉重，需要尾翼產生更大的向下負升力來維持平衡。這會增大配平總阻力(誘導阻力增加)、導致油耗/電耗增加、降低航程，且在起飛時需要更高的速度且仰轉困難。</v>
      </c>
      <c r="D1019" s="2"/>
      <c r="E1019" s="2"/>
      <c r="F1019" s="2"/>
      <c r="G1019" s="2"/>
      <c r="H1019" s="2"/>
      <c r="I1019" s="2"/>
    </row>
    <row r="1020" spans="1:9" s="3" customFormat="1" ht="90">
      <c r="A1020" s="4" t="str">
        <f>dB題庫!A159</f>
        <v>158</v>
      </c>
      <c r="B1020" s="4" t="str">
        <f>dB題庫!B159</f>
        <v>無人飛機重心位置靠前時,會有下列哪種情形</v>
      </c>
      <c r="C1020" s="4" t="str">
        <f>A1020&amp;"."&amp;B1020</f>
        <v>158.無人飛機重心位置靠前時,會有下列哪種情形</v>
      </c>
      <c r="D1020" s="4" t="str">
        <f>dB題庫!C159</f>
        <v>油耗增加。</v>
      </c>
      <c r="E1020" s="4" t="str">
        <f>dB題庫!D159</f>
        <v>航程距離降低。</v>
      </c>
      <c r="F1020" s="4" t="str">
        <f>dB題庫!E159</f>
        <v>以上皆是。</v>
      </c>
      <c r="G1020" s="4" t="str">
        <f>dB題庫!F159</f>
        <v>以上皆非。</v>
      </c>
      <c r="H1020" s="4" t="str">
        <f>dB題庫!G159</f>
        <v>C.</v>
      </c>
      <c r="I1020" s="4" t="str">
        <f>dB題庫!H159</f>
        <v>當重心靠前時，機頭沉重，需要尾翼產生更大的向下負升力來維持平衡。這會增大配平總阻力(誘導阻力增加)、導致油耗/電耗增加、降低航程，且在起飛時需要更高的速度且仰轉困難。
《》無人飛機重心過於靠前時，會導致起飛仰轉困難、配平（Trim）需求增加以致阻力變大、油耗增加以及續航能力減少。這也是遙控無人機學科測驗中常見的基礎飛行原理考題。</v>
      </c>
    </row>
    <row r="1021" spans="1:9" s="3" customFormat="1" ht="15">
      <c r="A1021" s="2" t="s">
        <v>114</v>
      </c>
      <c r="B1021" s="1"/>
      <c r="C1021" s="7" t="str">
        <f>"(A.)"&amp;D1020</f>
        <v>(A.)油耗增加。</v>
      </c>
      <c r="D1021" s="2"/>
      <c r="E1021" s="2"/>
      <c r="F1021" s="2"/>
      <c r="G1021" s="2"/>
      <c r="H1021" s="2"/>
      <c r="I1021" s="2"/>
    </row>
    <row r="1022" spans="1:9" s="3" customFormat="1" ht="15">
      <c r="A1022" s="2"/>
      <c r="B1022" s="1"/>
      <c r="C1022" s="7" t="str">
        <f>"(B.)"&amp;E1020</f>
        <v>(B.)航程距離降低。</v>
      </c>
      <c r="D1022" s="2"/>
      <c r="E1022" s="2"/>
      <c r="F1022" s="2"/>
      <c r="G1022" s="2"/>
      <c r="H1022" s="2"/>
      <c r="I1022" s="2"/>
    </row>
    <row r="1023" spans="1:9" s="3" customFormat="1" ht="15">
      <c r="A1023" s="2"/>
      <c r="B1023" s="2"/>
      <c r="C1023" s="7" t="str">
        <f>"(C.)"&amp;F1020</f>
        <v>(C.)以上皆是。</v>
      </c>
      <c r="D1023" s="2"/>
      <c r="E1023" s="2"/>
      <c r="F1023" s="2"/>
      <c r="G1023" s="2"/>
      <c r="H1023" s="2"/>
      <c r="I1023" s="2"/>
    </row>
    <row r="1024" spans="1:9" s="3" customFormat="1" ht="15">
      <c r="A1024" s="2"/>
      <c r="B1024" s="2"/>
      <c r="C1024" s="7" t="str">
        <f>"(D.)"&amp;G1020</f>
        <v>(D.)以上皆非。</v>
      </c>
      <c r="D1024" s="2"/>
      <c r="E1024" s="2"/>
      <c r="F1024" s="2"/>
      <c r="G1024" s="2"/>
      <c r="H1024" s="2"/>
      <c r="I1024" s="2"/>
    </row>
    <row r="1025" spans="1:9" s="3" customFormat="1" ht="15">
      <c r="A1025" s="2"/>
      <c r="B1025" s="2"/>
      <c r="C1025" s="7" t="str">
        <f>"答案是： "&amp;IF(H1020="A.",C1021,IF(H1020="B.",C1022,IF(H1020="C.",C1023,IF(H1020=("D."),C1024,"XXXX"))))</f>
        <v>答案是： (C.)以上皆是。</v>
      </c>
      <c r="D1025" s="2"/>
      <c r="E1025" s="2"/>
      <c r="F1025" s="2"/>
      <c r="G1025" s="2"/>
      <c r="H1025" s="2"/>
      <c r="I1025" s="2"/>
    </row>
    <row r="1026" spans="1:9" s="3" customFormat="1" ht="120">
      <c r="A1026" s="2"/>
      <c r="B1026" s="2"/>
      <c r="C1026" s="7" t="str">
        <f>"說明："&amp;I1020</f>
        <v>說明：當重心靠前時，機頭沉重，需要尾翼產生更大的向下負升力來維持平衡。這會增大配平總阻力(誘導阻力增加)、導致油耗/電耗增加、降低航程，且在起飛時需要更高的速度且仰轉困難。
《》無人飛機重心過於靠前時，會導致起飛仰轉困難、配平（Trim）需求增加以致阻力變大、油耗增加以及續航能力減少。這也是遙控無人機學科測驗中常見的基礎飛行原理考題。</v>
      </c>
      <c r="D1026" s="2"/>
      <c r="E1026" s="2"/>
      <c r="F1026" s="2"/>
      <c r="G1026" s="2"/>
      <c r="H1026" s="2"/>
      <c r="I1026" s="2"/>
    </row>
    <row r="1027" spans="1:9" s="3" customFormat="1" ht="105">
      <c r="A1027" s="4" t="str">
        <f>dB題庫!A160</f>
        <v>159</v>
      </c>
      <c r="B1027" s="4" t="str">
        <f>dB題庫!B160</f>
        <v>無人飛機重心位置靠前時,提高了下列哪種風險</v>
      </c>
      <c r="C1027" s="4" t="str">
        <f>A1027&amp;"."&amp;B1027</f>
        <v>159.無人飛機重心位置靠前時,提高了下列哪種風險</v>
      </c>
      <c r="D1027" s="4" t="str">
        <f>dB題庫!C160</f>
        <v>不穩定進場的風險。</v>
      </c>
      <c r="E1027" s="4" t="str">
        <f>dB題庫!D160</f>
        <v>穩定進場的風險。</v>
      </c>
      <c r="F1027" s="4" t="str">
        <f>dB題庫!E160</f>
        <v>非精確進場的風險。</v>
      </c>
      <c r="G1027" s="4" t="str">
        <f>dB題庫!F160</f>
        <v>精確進場的風險。</v>
      </c>
      <c r="H1027" s="4" t="str">
        <f>dB題庫!G160</f>
        <v>A.</v>
      </c>
      <c r="I1027" s="4" t="str">
        <f>dB題庫!H160</f>
        <v>當重心靠前時，機頭沉重，需要尾翼產生更大的向下負升力來維持平衡。這會增大配平總阻力(誘導阻力增加)、導致油耗/電耗增加、降低航程，且在起飛時需要更高的速度且仰轉困難。
《》無人飛機重心位置過於靠前時，會提高不穩定進場的風險。這是因為當重心過度前移時，機頭變得較沉重，需要尾翼提供更大的下壓力來維持俯仰平衡。在低速飛行時，若配平（Trim）可能不足，將會導致難以穩定控制飛機的俯仰姿態，進而增加降落進場時發生不穩定的危險。</v>
      </c>
    </row>
    <row r="1028" spans="1:9" s="3" customFormat="1" ht="15">
      <c r="A1028" s="2" t="s">
        <v>114</v>
      </c>
      <c r="B1028" s="1"/>
      <c r="C1028" s="7" t="str">
        <f>"(A.)"&amp;D1027</f>
        <v>(A.)不穩定進場的風險。</v>
      </c>
      <c r="D1028" s="2"/>
      <c r="E1028" s="2"/>
      <c r="F1028" s="2"/>
      <c r="G1028" s="2"/>
      <c r="H1028" s="2"/>
      <c r="I1028" s="2"/>
    </row>
    <row r="1029" spans="1:9" s="3" customFormat="1" ht="15">
      <c r="A1029" s="2"/>
      <c r="B1029" s="1"/>
      <c r="C1029" s="7" t="str">
        <f>"(B.)"&amp;E1027</f>
        <v>(B.)穩定進場的風險。</v>
      </c>
      <c r="D1029" s="2"/>
      <c r="E1029" s="2"/>
      <c r="F1029" s="2"/>
      <c r="G1029" s="2"/>
      <c r="H1029" s="2"/>
      <c r="I1029" s="2"/>
    </row>
    <row r="1030" spans="1:9" s="3" customFormat="1" ht="15">
      <c r="A1030" s="2"/>
      <c r="B1030" s="2"/>
      <c r="C1030" s="7" t="str">
        <f>"(C.)"&amp;F1027</f>
        <v>(C.)非精確進場的風險。</v>
      </c>
      <c r="D1030" s="2"/>
      <c r="E1030" s="2"/>
      <c r="F1030" s="2"/>
      <c r="G1030" s="2"/>
      <c r="H1030" s="2"/>
      <c r="I1030" s="2"/>
    </row>
    <row r="1031" spans="1:9" s="3" customFormat="1" ht="15">
      <c r="A1031" s="2"/>
      <c r="B1031" s="2"/>
      <c r="C1031" s="7" t="str">
        <f>"(D.)"&amp;G1027</f>
        <v>(D.)精確進場的風險。</v>
      </c>
      <c r="D1031" s="2"/>
      <c r="E1031" s="2"/>
      <c r="F1031" s="2"/>
      <c r="G1031" s="2"/>
      <c r="H1031" s="2"/>
      <c r="I1031" s="2"/>
    </row>
    <row r="1032" spans="1:9" s="3" customFormat="1" ht="15">
      <c r="A1032" s="2"/>
      <c r="B1032" s="2"/>
      <c r="C1032" s="7" t="str">
        <f>"答案是： "&amp;IF(H1027="A.",C1028,IF(H1027="B.",C1029,IF(H1027="C.",C1030,IF(H1027=("D."),C1031,"XXXX"))))</f>
        <v>答案是： (A.)不穩定進場的風險。</v>
      </c>
      <c r="D1032" s="2"/>
      <c r="E1032" s="2"/>
      <c r="F1032" s="2"/>
      <c r="G1032" s="2"/>
      <c r="H1032" s="2"/>
      <c r="I1032" s="2"/>
    </row>
    <row r="1033" spans="1:9" s="3" customFormat="1" ht="150">
      <c r="A1033" s="2"/>
      <c r="B1033" s="2"/>
      <c r="C1033" s="7" t="str">
        <f>"說明："&amp;I1027</f>
        <v>說明：當重心靠前時，機頭沉重，需要尾翼產生更大的向下負升力來維持平衡。這會增大配平總阻力(誘導阻力增加)、導致油耗/電耗增加、降低航程，且在起飛時需要更高的速度且仰轉困難。
《》無人飛機重心位置過於靠前時，會提高不穩定進場的風險。這是因為當重心過度前移時，機頭變得較沉重，需要尾翼提供更大的下壓力來維持俯仰平衡。在低速飛行時，若配平（Trim）可能不足，將會導致難以穩定控制飛機的俯仰姿態，進而增加降落進場時發生不穩定的危險。</v>
      </c>
      <c r="D1033" s="2"/>
      <c r="E1033" s="2"/>
      <c r="F1033" s="2"/>
      <c r="G1033" s="2"/>
      <c r="H1033" s="2"/>
      <c r="I1033" s="2"/>
    </row>
    <row r="1034" spans="1:9" s="3" customFormat="1" ht="105">
      <c r="A1034" s="4" t="str">
        <f>dB題庫!A161</f>
        <v>160</v>
      </c>
      <c r="B1034" s="4" t="str">
        <f>dB題庫!B161</f>
        <v>無人飛機重心後移時,由於機頭較輕,可能會使得起飛時發生下列哪種情形</v>
      </c>
      <c r="C1034" s="4" t="str">
        <f>A1034&amp;"."&amp;B1034</f>
        <v>160.無人飛機重心後移時,由於機頭較輕,可能會使得起飛時發生下列哪種情形</v>
      </c>
      <c r="D1034" s="4" t="str">
        <f>dB題庫!C161</f>
        <v>偏離跑道。</v>
      </c>
      <c r="E1034" s="4" t="str">
        <f>dB題庫!D161</f>
        <v>左右搖擺。</v>
      </c>
      <c r="F1034" s="4" t="str">
        <f>dB題庫!E161</f>
        <v>提前仰轉。</v>
      </c>
      <c r="G1034" s="4" t="str">
        <f>dB題庫!F161</f>
        <v>延後離地。</v>
      </c>
      <c r="H1034" s="4" t="str">
        <f>dB題庫!G161</f>
        <v>C.</v>
      </c>
      <c r="I1034" s="4" t="str">
        <f>dB題庫!H161</f>
        <v>重心後移會使機頭變輕、飛機縱向穩定性變差。雖然配平阻力減小可能使續航增加，但起飛時極易提前仰轉、甚至導致失速或機尾擦地；對直昇機則會嚴重惡化高速前飛性能。
《》無人飛機重心後移時，由於機頭較輕、俯仰力矩減小，起飛時很容易發生「提前仰轉」的情形。無人飛機重心過於後移除了會導致起飛時機頭過早抬起（提前仰轉）外，在爬升時若操作不慎，還可能因仰角過大而導致失速或機尾擦地。</v>
      </c>
    </row>
    <row r="1035" spans="1:9" s="3" customFormat="1" ht="15">
      <c r="A1035" s="2" t="s">
        <v>114</v>
      </c>
      <c r="B1035" s="1"/>
      <c r="C1035" s="7" t="str">
        <f>"(A.)"&amp;D1034</f>
        <v>(A.)偏離跑道。</v>
      </c>
      <c r="D1035" s="2"/>
      <c r="E1035" s="2"/>
      <c r="F1035" s="2"/>
      <c r="G1035" s="2"/>
      <c r="H1035" s="2"/>
      <c r="I1035" s="2"/>
    </row>
    <row r="1036" spans="1:9" s="3" customFormat="1" ht="15">
      <c r="A1036" s="2"/>
      <c r="B1036" s="1"/>
      <c r="C1036" s="7" t="str">
        <f>"(B.)"&amp;E1034</f>
        <v>(B.)左右搖擺。</v>
      </c>
      <c r="D1036" s="2"/>
      <c r="E1036" s="2"/>
      <c r="F1036" s="2"/>
      <c r="G1036" s="2"/>
      <c r="H1036" s="2"/>
      <c r="I1036" s="2"/>
    </row>
    <row r="1037" spans="1:9" s="3" customFormat="1" ht="15">
      <c r="A1037" s="2"/>
      <c r="B1037" s="2"/>
      <c r="C1037" s="7" t="str">
        <f>"(C.)"&amp;F1034</f>
        <v>(C.)提前仰轉。</v>
      </c>
      <c r="D1037" s="2"/>
      <c r="E1037" s="2"/>
      <c r="F1037" s="2"/>
      <c r="G1037" s="2"/>
      <c r="H1037" s="2"/>
      <c r="I1037" s="2"/>
    </row>
    <row r="1038" spans="1:9" s="3" customFormat="1" ht="15">
      <c r="A1038" s="2"/>
      <c r="B1038" s="2"/>
      <c r="C1038" s="7" t="str">
        <f>"(D.)"&amp;G1034</f>
        <v>(D.)延後離地。</v>
      </c>
      <c r="D1038" s="2"/>
      <c r="E1038" s="2"/>
      <c r="F1038" s="2"/>
      <c r="G1038" s="2"/>
      <c r="H1038" s="2"/>
      <c r="I1038" s="2"/>
    </row>
    <row r="1039" spans="1:9" s="3" customFormat="1" ht="15">
      <c r="A1039" s="2"/>
      <c r="B1039" s="2"/>
      <c r="C1039" s="7" t="str">
        <f>"答案是： "&amp;IF(H1034="A.",C1035,IF(H1034="B.",C1036,IF(H1034="C.",C1037,IF(H1034=("D."),C1038,"XXXX"))))</f>
        <v>答案是： (C.)提前仰轉。</v>
      </c>
      <c r="D1039" s="2"/>
      <c r="E1039" s="2"/>
      <c r="F1039" s="2"/>
      <c r="G1039" s="2"/>
      <c r="H1039" s="2"/>
      <c r="I1039" s="2"/>
    </row>
    <row r="1040" spans="1:9" s="3" customFormat="1" ht="135">
      <c r="A1040" s="2"/>
      <c r="B1040" s="2"/>
      <c r="C1040" s="7" t="str">
        <f>"說明："&amp;I1034</f>
        <v>說明：重心後移會使機頭變輕、飛機縱向穩定性變差。雖然配平阻力減小可能使續航增加，但起飛時極易提前仰轉、甚至導致失速或機尾擦地；對直昇機則會嚴重惡化高速前飛性能。
《》無人飛機重心後移時，由於機頭較輕、俯仰力矩減小，起飛時很容易發生「提前仰轉」的情形。無人飛機重心過於後移除了會導致起飛時機頭過早抬起（提前仰轉）外，在爬升時若操作不慎，還可能因仰角過大而導致失速或機尾擦地。</v>
      </c>
      <c r="D1040" s="2"/>
      <c r="E1040" s="2"/>
      <c r="F1040" s="2"/>
      <c r="G1040" s="2"/>
      <c r="H1040" s="2"/>
      <c r="I1040" s="2"/>
    </row>
    <row r="1041" spans="1:9" s="3" customFormat="1" ht="105">
      <c r="A1041" s="4" t="str">
        <f>dB題庫!A162</f>
        <v>161</v>
      </c>
      <c r="B1041" s="4" t="str">
        <f>dB題庫!B162</f>
        <v>無人飛機重心後移時,起飛爬升時可能會因仰角過大,而造成下列哪種情形</v>
      </c>
      <c r="C1041" s="4" t="str">
        <f>A1041&amp;"."&amp;B1041</f>
        <v>161.無人飛機重心後移時,起飛爬升時可能會因仰角過大,而造成下列哪種情形</v>
      </c>
      <c r="D1041" s="4" t="str">
        <f>dB題庫!C162</f>
        <v>起飛速度增加。</v>
      </c>
      <c r="E1041" s="4" t="str">
        <f>dB題庫!D162</f>
        <v>起飛重量降低。</v>
      </c>
      <c r="F1041" s="4" t="str">
        <f>dB題庫!E162</f>
        <v>失速與機尾擦地。</v>
      </c>
      <c r="G1041" s="4" t="str">
        <f>dB題庫!F162</f>
        <v>以上皆是。</v>
      </c>
      <c r="H1041" s="4" t="str">
        <f>dB題庫!G162</f>
        <v>C.</v>
      </c>
      <c r="I1041" s="4" t="str">
        <f>dB題庫!H162</f>
        <v>重心後移會使機頭變輕、飛機縱向穩定性變差。雖然配平阻力減小可能使續航增加，但起飛時極易提前仰轉、甚至導致失速或機尾擦地；對直昇機則會嚴重惡化高速前飛性能。
《》無人飛機重心後移時，因機頭較輕，起飛爬升時若操作不慎，可能會造成 失速與機尾擦地 的情形。重心後移除了可能導致機尾擦地外，還會帶來以下影響：起飛提前仰轉：機頭重量較輕，離地時仰轉動作會變得較快。較難改正失速：若飛機進入螺旋失速狀態，會變得更難以操控及改正。</v>
      </c>
    </row>
    <row r="1042" spans="1:9" s="3" customFormat="1" ht="15">
      <c r="A1042" s="2" t="s">
        <v>114</v>
      </c>
      <c r="B1042" s="1"/>
      <c r="C1042" s="7" t="str">
        <f>"(A.)"&amp;D1041</f>
        <v>(A.)起飛速度增加。</v>
      </c>
      <c r="D1042" s="2"/>
      <c r="E1042" s="2"/>
      <c r="F1042" s="2"/>
      <c r="G1042" s="2"/>
      <c r="H1042" s="2"/>
      <c r="I1042" s="2"/>
    </row>
    <row r="1043" spans="1:9" s="3" customFormat="1" ht="15">
      <c r="A1043" s="2"/>
      <c r="B1043" s="1"/>
      <c r="C1043" s="7" t="str">
        <f>"(B.)"&amp;E1041</f>
        <v>(B.)起飛重量降低。</v>
      </c>
      <c r="D1043" s="2"/>
      <c r="E1043" s="2"/>
      <c r="F1043" s="2"/>
      <c r="G1043" s="2"/>
      <c r="H1043" s="2"/>
      <c r="I1043" s="2"/>
    </row>
    <row r="1044" spans="1:9" s="3" customFormat="1" ht="15">
      <c r="A1044" s="2"/>
      <c r="B1044" s="2"/>
      <c r="C1044" s="7" t="str">
        <f>"(C.)"&amp;F1041</f>
        <v>(C.)失速與機尾擦地。</v>
      </c>
      <c r="D1044" s="2"/>
      <c r="E1044" s="2"/>
      <c r="F1044" s="2"/>
      <c r="G1044" s="2"/>
      <c r="H1044" s="2"/>
      <c r="I1044" s="2"/>
    </row>
    <row r="1045" spans="1:9" s="3" customFormat="1" ht="15">
      <c r="A1045" s="2"/>
      <c r="B1045" s="2"/>
      <c r="C1045" s="7" t="str">
        <f>"(D.)"&amp;G1041</f>
        <v>(D.)以上皆是。</v>
      </c>
      <c r="D1045" s="2"/>
      <c r="E1045" s="2"/>
      <c r="F1045" s="2"/>
      <c r="G1045" s="2"/>
      <c r="H1045" s="2"/>
      <c r="I1045" s="2"/>
    </row>
    <row r="1046" spans="1:9" s="3" customFormat="1" ht="15">
      <c r="A1046" s="2"/>
      <c r="B1046" s="2"/>
      <c r="C1046" s="7" t="str">
        <f>"答案是： "&amp;IF(H1041="A.",C1042,IF(H1041="B.",C1043,IF(H1041="C.",C1044,IF(H1041=("D."),C1045,"XXXX"))))</f>
        <v>答案是： (C.)失速與機尾擦地。</v>
      </c>
      <c r="D1046" s="2"/>
      <c r="E1046" s="2"/>
      <c r="F1046" s="2"/>
      <c r="G1046" s="2"/>
      <c r="H1046" s="2"/>
      <c r="I1046" s="2"/>
    </row>
    <row r="1047" spans="1:9" s="3" customFormat="1" ht="165">
      <c r="A1047" s="2"/>
      <c r="B1047" s="2"/>
      <c r="C1047" s="7" t="str">
        <f>"說明："&amp;I1041</f>
        <v>說明：重心後移會使機頭變輕、飛機縱向穩定性變差。雖然配平阻力減小可能使續航增加，但起飛時極易提前仰轉、甚至導致失速或機尾擦地；對直昇機則會嚴重惡化高速前飛性能。
《》無人飛機重心後移時，因機頭較輕，起飛爬升時若操作不慎，可能會造成 失速與機尾擦地 的情形。重心後移除了可能導致機尾擦地外，還會帶來以下影響：起飛提前仰轉：機頭重量較輕，離地時仰轉動作會變得較快。較難改正失速：若飛機進入螺旋失速狀態，會變得更難以操控及改正。</v>
      </c>
      <c r="D1047" s="2"/>
      <c r="E1047" s="2"/>
      <c r="F1047" s="2"/>
      <c r="G1047" s="2"/>
      <c r="H1047" s="2"/>
      <c r="I1047" s="2"/>
    </row>
    <row r="1048" spans="1:9" s="3" customFormat="1" ht="150">
      <c r="A1048" s="4" t="str">
        <f>dB題庫!A163</f>
        <v>162</v>
      </c>
      <c r="B1048" s="4" t="str">
        <f>dB題庫!B163</f>
        <v>無人飛機重心後移時,配平及總阻力減小,也進而導致下列哪種情形</v>
      </c>
      <c r="C1048" s="4" t="str">
        <f>A1048&amp;"."&amp;B1048</f>
        <v>162.無人飛機重心後移時,配平及總阻力減小,也進而導致下列哪種情形</v>
      </c>
      <c r="D1048" s="4" t="str">
        <f>dB題庫!C163</f>
        <v>油耗減少。</v>
      </c>
      <c r="E1048" s="4" t="str">
        <f>dB題庫!D163</f>
        <v>續航能力增加。</v>
      </c>
      <c r="F1048" s="4" t="str">
        <f>dB題庫!E163</f>
        <v>失速速度減小。</v>
      </c>
      <c r="G1048" s="4" t="str">
        <f>dB題庫!F163</f>
        <v>以上皆是。</v>
      </c>
      <c r="H1048" s="4" t="str">
        <f>dB題庫!G163</f>
        <v>D.</v>
      </c>
      <c r="I1048" s="4" t="str">
        <f>dB題庫!H163</f>
        <v>重心後移會使機頭變輕、飛機縱向穩定性變差。雖然配平阻力減小可能使續航增加，但起飛時極易提前仰轉、甚至導致失速或機尾擦地；對直昇機則會嚴重惡化高速前飛性能。
《》無人飛機重心後移時，配平阻力與總阻力減小，所需推力隨之降低，進而導致油耗減少、續航能力增加、失速速度減小等情形。
詳細原理如下：油耗減少：由於重心後移使飛機水平尾翼產生的下向負升力減少，機翼配平阻力（Trim Drag）與全機總阻力下降，發動機維持平飛所需的推力降低，油耗隨之減少。續航能力增加：推力需求與油耗降低，使電池或燃料的使用效率提升，延長了滯空時間與航程。失速速度減小：因配平所需升力減小，機翼迎角（Angle of Attach）有效降低，低速飛行時更不易失速。</v>
      </c>
    </row>
    <row r="1049" spans="1:9" s="3" customFormat="1" ht="15">
      <c r="A1049" s="2" t="s">
        <v>114</v>
      </c>
      <c r="B1049" s="1"/>
      <c r="C1049" s="7" t="str">
        <f>"(A.)"&amp;D1048</f>
        <v>(A.)油耗減少。</v>
      </c>
      <c r="D1049" s="2"/>
      <c r="E1049" s="2"/>
      <c r="F1049" s="2"/>
      <c r="G1049" s="2"/>
      <c r="H1049" s="2"/>
      <c r="I1049" s="2"/>
    </row>
    <row r="1050" spans="1:9" s="3" customFormat="1" ht="15">
      <c r="A1050" s="2"/>
      <c r="B1050" s="1"/>
      <c r="C1050" s="7" t="str">
        <f>"(B.)"&amp;E1048</f>
        <v>(B.)續航能力增加。</v>
      </c>
      <c r="D1050" s="2"/>
      <c r="E1050" s="2"/>
      <c r="F1050" s="2"/>
      <c r="G1050" s="2"/>
      <c r="H1050" s="2"/>
      <c r="I1050" s="2"/>
    </row>
    <row r="1051" spans="1:9" s="3" customFormat="1" ht="15">
      <c r="A1051" s="2"/>
      <c r="B1051" s="2"/>
      <c r="C1051" s="7" t="str">
        <f>"(C.)"&amp;F1048</f>
        <v>(C.)失速速度減小。</v>
      </c>
      <c r="D1051" s="2"/>
      <c r="E1051" s="2"/>
      <c r="F1051" s="2"/>
      <c r="G1051" s="2"/>
      <c r="H1051" s="2"/>
      <c r="I1051" s="2"/>
    </row>
    <row r="1052" spans="1:9" s="3" customFormat="1" ht="15">
      <c r="A1052" s="2"/>
      <c r="B1052" s="2"/>
      <c r="C1052" s="7" t="str">
        <f>"(D.)"&amp;G1048</f>
        <v>(D.)以上皆是。</v>
      </c>
      <c r="D1052" s="2"/>
      <c r="E1052" s="2"/>
      <c r="F1052" s="2"/>
      <c r="G1052" s="2"/>
      <c r="H1052" s="2"/>
      <c r="I1052" s="2"/>
    </row>
    <row r="1053" spans="1:9" s="3" customFormat="1" ht="15">
      <c r="A1053" s="2"/>
      <c r="B1053" s="2"/>
      <c r="C1053" s="7" t="str">
        <f>"答案是： "&amp;IF(H1048="A.",C1049,IF(H1048="B.",C1050,IF(H1048="C.",C1051,IF(H1048=("D."),C1052,"XXXX"))))</f>
        <v>答案是： (D.)以上皆是。</v>
      </c>
      <c r="D1053" s="2"/>
      <c r="E1053" s="2"/>
      <c r="F1053" s="2"/>
      <c r="G1053" s="2"/>
      <c r="H1053" s="2"/>
      <c r="I1053" s="2"/>
    </row>
    <row r="1054" spans="1:9" s="3" customFormat="1" ht="225">
      <c r="A1054" s="2"/>
      <c r="B1054" s="2"/>
      <c r="C1054" s="7" t="str">
        <f>"說明："&amp;I1048</f>
        <v>說明：重心後移會使機頭變輕、飛機縱向穩定性變差。雖然配平阻力減小可能使續航增加，但起飛時極易提前仰轉、甚至導致失速或機尾擦地；對直昇機則會嚴重惡化高速前飛性能。
《》無人飛機重心後移時，配平阻力與總阻力減小，所需推力隨之降低，進而導致油耗減少、續航能力增加、失速速度減小等情形。
詳細原理如下：油耗減少：由於重心後移使飛機水平尾翼產生的下向負升力減少，機翼配平阻力（Trim Drag）與全機總阻力下降，發動機維持平飛所需的推力降低，油耗隨之減少。續航能力增加：推力需求與油耗降低，使電池或燃料的使用效率提升，延長了滯空時間與航程。失速速度減小：因配平所需升力減小，機翼迎角（Angle of Attach）有效降低，低速飛行時更不易失速。</v>
      </c>
      <c r="D1054" s="2"/>
      <c r="E1054" s="2"/>
      <c r="F1054" s="2"/>
      <c r="G1054" s="2"/>
      <c r="H1054" s="2"/>
      <c r="I1054" s="2"/>
    </row>
    <row r="1055" spans="1:9" s="3" customFormat="1" ht="75">
      <c r="A1055" s="4" t="str">
        <f>dB題庫!A164</f>
        <v>163</v>
      </c>
      <c r="B1055" s="4" t="str">
        <f>dB題庫!B164</f>
        <v>無人直昇機重心太靠後,會影響下列哪種性能</v>
      </c>
      <c r="C1055" s="4" t="str">
        <f>A1055&amp;"."&amp;B1055</f>
        <v>163.無人直昇機重心太靠後,會影響下列哪種性能</v>
      </c>
      <c r="D1055" s="4" t="str">
        <f>dB題庫!C164</f>
        <v>高速前飛性能及穩定。</v>
      </c>
      <c r="E1055" s="4" t="str">
        <f>dB題庫!D164</f>
        <v>從地面到正常起飛。</v>
      </c>
      <c r="F1055" s="4" t="str">
        <f>dB題庫!E164</f>
        <v>平直飛行。</v>
      </c>
      <c r="G1055" s="4" t="str">
        <f>dB題庫!F164</f>
        <v>以上皆是。</v>
      </c>
      <c r="H1055" s="4" t="str">
        <f>dB題庫!G164</f>
        <v>A.</v>
      </c>
      <c r="I1055" s="4" t="str">
        <f>dB題庫!H164</f>
        <v>重心後移會使機頭變輕、飛機縱向穩定性變差。雖然配平阻力減小可能使續航增加，但起飛時極易提前仰轉、甚至導致失速或機尾擦地；對直昇機則會嚴重惡化高速前飛性能。
【】直昇機重心太靠後會嚴重影響其高速前飛性能及穩定性。這會導致機頭在飛行中容易上仰，使飛行員必須持續推桿修正，增加操控困難度並增加負荷。</v>
      </c>
    </row>
    <row r="1056" spans="1:9" s="3" customFormat="1" ht="15">
      <c r="A1056" s="2" t="s">
        <v>114</v>
      </c>
      <c r="B1056" s="1"/>
      <c r="C1056" s="7" t="str">
        <f>"(A.)"&amp;D1055</f>
        <v>(A.)高速前飛性能及穩定。</v>
      </c>
      <c r="D1056" s="2"/>
      <c r="E1056" s="2"/>
      <c r="F1056" s="2"/>
      <c r="G1056" s="2"/>
      <c r="H1056" s="2"/>
      <c r="I1056" s="2"/>
    </row>
    <row r="1057" spans="1:9" s="3" customFormat="1" ht="15">
      <c r="A1057" s="2"/>
      <c r="B1057" s="1"/>
      <c r="C1057" s="7" t="str">
        <f>"(B.)"&amp;E1055</f>
        <v>(B.)從地面到正常起飛。</v>
      </c>
      <c r="D1057" s="2"/>
      <c r="E1057" s="2"/>
      <c r="F1057" s="2"/>
      <c r="G1057" s="2"/>
      <c r="H1057" s="2"/>
      <c r="I1057" s="2"/>
    </row>
    <row r="1058" spans="1:9" s="3" customFormat="1" ht="15">
      <c r="A1058" s="2"/>
      <c r="B1058" s="2"/>
      <c r="C1058" s="7" t="str">
        <f>"(C.)"&amp;F1055</f>
        <v>(C.)平直飛行。</v>
      </c>
      <c r="D1058" s="2"/>
      <c r="E1058" s="2"/>
      <c r="F1058" s="2"/>
      <c r="G1058" s="2"/>
      <c r="H1058" s="2"/>
      <c r="I1058" s="2"/>
    </row>
    <row r="1059" spans="1:9" s="3" customFormat="1" ht="15">
      <c r="A1059" s="2"/>
      <c r="B1059" s="2"/>
      <c r="C1059" s="7" t="str">
        <f>"(D.)"&amp;G1055</f>
        <v>(D.)以上皆是。</v>
      </c>
      <c r="D1059" s="2"/>
      <c r="E1059" s="2"/>
      <c r="F1059" s="2"/>
      <c r="G1059" s="2"/>
      <c r="H1059" s="2"/>
      <c r="I1059" s="2"/>
    </row>
    <row r="1060" spans="1:9" s="3" customFormat="1" ht="15">
      <c r="A1060" s="2"/>
      <c r="B1060" s="2"/>
      <c r="C1060" s="7" t="str">
        <f>"答案是： "&amp;IF(H1055="A.",C1056,IF(H1055="B.",C1057,IF(H1055="C.",C1058,IF(H1055=("D."),C1059,"XXXX"))))</f>
        <v>答案是： (A.)高速前飛性能及穩定。</v>
      </c>
      <c r="D1060" s="2"/>
      <c r="E1060" s="2"/>
      <c r="F1060" s="2"/>
      <c r="G1060" s="2"/>
      <c r="H1060" s="2"/>
      <c r="I1060" s="2"/>
    </row>
    <row r="1061" spans="1:9" s="3" customFormat="1" ht="120">
      <c r="A1061" s="2"/>
      <c r="B1061" s="2"/>
      <c r="C1061" s="7" t="str">
        <f>"說明："&amp;I1055</f>
        <v>說明：重心後移會使機頭變輕、飛機縱向穩定性變差。雖然配平阻力減小可能使續航增加，但起飛時極易提前仰轉、甚至導致失速或機尾擦地；對直昇機則會嚴重惡化高速前飛性能。
【】直昇機重心太靠後會嚴重影響其高速前飛性能及穩定性。這會導致機頭在飛行中容易上仰，使飛行員必須持續推桿修正，增加操控困難度並增加負荷。</v>
      </c>
      <c r="D1061" s="2"/>
      <c r="E1061" s="2"/>
      <c r="F1061" s="2"/>
      <c r="G1061" s="2"/>
      <c r="H1061" s="2"/>
      <c r="I1061" s="2"/>
    </row>
    <row r="1062" spans="1:9" s="3" customFormat="1" ht="60">
      <c r="A1062" s="4" t="str">
        <f>dB題庫!A165</f>
        <v>164</v>
      </c>
      <c r="B1062" s="4" t="str">
        <f>dB題庫!B165</f>
        <v>無人多旋翼機重心移動可能造成下列哪種結果</v>
      </c>
      <c r="C1062" s="4" t="str">
        <f>A1062&amp;"."&amp;B1062</f>
        <v>164.無人多旋翼機重心移動可能造成下列哪種結果</v>
      </c>
      <c r="D1062" s="4" t="str">
        <f>dB題庫!C165</f>
        <v>升力增加。</v>
      </c>
      <c r="E1062" s="4" t="str">
        <f>dB題庫!D165</f>
        <v>操控較為困難。</v>
      </c>
      <c r="F1062" s="4" t="str">
        <f>dB題庫!E165</f>
        <v>阻力減少。</v>
      </c>
      <c r="G1062" s="4" t="str">
        <f>dB題庫!F165</f>
        <v>以上皆是。</v>
      </c>
      <c r="H1062" s="4" t="str">
        <f>dB題庫!G165</f>
        <v>B.</v>
      </c>
      <c r="I1062" s="4" t="str">
        <f>dB題庫!H165</f>
        <v>無人多旋翼機透過調整對稱排列的垂直旋翼間的相對轉速，來精準改變各軸出力，實現垂直升降、俯仰、滾轉與偏航。由於採用對稱、定距槳設計，大大簡化了機械結構並提升了操控的直接性與姿態平穩。
【】重心移動將造成平衡機制破壞、飛況不穩定。</v>
      </c>
    </row>
    <row r="1063" spans="1:9" s="3" customFormat="1" ht="15">
      <c r="A1063" s="2" t="s">
        <v>114</v>
      </c>
      <c r="B1063" s="1"/>
      <c r="C1063" s="7" t="str">
        <f>"(A.)"&amp;D1062</f>
        <v>(A.)升力增加。</v>
      </c>
      <c r="D1063" s="2"/>
      <c r="E1063" s="2"/>
      <c r="F1063" s="2"/>
      <c r="G1063" s="2"/>
      <c r="H1063" s="2"/>
      <c r="I1063" s="2"/>
    </row>
    <row r="1064" spans="1:9" s="3" customFormat="1" ht="15">
      <c r="A1064" s="2"/>
      <c r="B1064" s="1"/>
      <c r="C1064" s="7" t="str">
        <f>"(B.)"&amp;E1062</f>
        <v>(B.)操控較為困難。</v>
      </c>
      <c r="D1064" s="2"/>
      <c r="E1064" s="2"/>
      <c r="F1064" s="2"/>
      <c r="G1064" s="2"/>
      <c r="H1064" s="2"/>
      <c r="I1064" s="2"/>
    </row>
    <row r="1065" spans="1:9" s="3" customFormat="1" ht="15">
      <c r="A1065" s="2"/>
      <c r="B1065" s="2"/>
      <c r="C1065" s="7" t="str">
        <f>"(C.)"&amp;F1062</f>
        <v>(C.)阻力減少。</v>
      </c>
      <c r="D1065" s="2"/>
      <c r="E1065" s="2"/>
      <c r="F1065" s="2"/>
      <c r="G1065" s="2"/>
      <c r="H1065" s="2"/>
      <c r="I1065" s="2"/>
    </row>
    <row r="1066" spans="1:9" s="3" customFormat="1" ht="15">
      <c r="A1066" s="2"/>
      <c r="B1066" s="2"/>
      <c r="C1066" s="7" t="str">
        <f>"(D.)"&amp;G1062</f>
        <v>(D.)以上皆是。</v>
      </c>
      <c r="D1066" s="2"/>
      <c r="E1066" s="2"/>
      <c r="F1066" s="2"/>
      <c r="G1066" s="2"/>
      <c r="H1066" s="2"/>
      <c r="I1066" s="2"/>
    </row>
    <row r="1067" spans="1:9" s="3" customFormat="1" ht="15">
      <c r="A1067" s="2"/>
      <c r="B1067" s="2"/>
      <c r="C1067" s="7" t="str">
        <f>"答案是： "&amp;IF(H1062="A.",C1063,IF(H1062="B.",C1064,IF(H1062="C.",C1065,IF(H1062=("D."),C1066,"XXXX"))))</f>
        <v>答案是： (B.)操控較為困難。</v>
      </c>
      <c r="D1067" s="2"/>
      <c r="E1067" s="2"/>
      <c r="F1067" s="2"/>
      <c r="G1067" s="2"/>
      <c r="H1067" s="2"/>
      <c r="I1067" s="2"/>
    </row>
    <row r="1068" spans="1:9" s="3" customFormat="1" ht="105">
      <c r="A1068" s="2"/>
      <c r="B1068" s="2"/>
      <c r="C1068" s="7" t="str">
        <f>"說明："&amp;I1062</f>
        <v>說明：無人多旋翼機透過調整對稱排列的垂直旋翼間的相對轉速，來精準改變各軸出力，實現垂直升降、俯仰、滾轉與偏航。由於採用對稱、定距槳設計，大大簡化了機械結構並提升了操控的直接性與姿態平穩。
【】重心移動將造成平衡機制破壞、飛況不穩定。</v>
      </c>
      <c r="D1068" s="2"/>
      <c r="E1068" s="2"/>
      <c r="F1068" s="2"/>
      <c r="G1068" s="2"/>
      <c r="H1068" s="2"/>
      <c r="I1068" s="2"/>
    </row>
    <row r="1069" spans="1:9" s="3" customFormat="1" ht="60">
      <c r="A1069" s="4" t="str">
        <f>dB題庫!A166</f>
        <v>165</v>
      </c>
      <c r="B1069" s="4" t="str">
        <f>dB題庫!B166</f>
        <v>遙控無人機重量增加可能對起飛速度造成下列哪種結果</v>
      </c>
      <c r="C1069" s="4" t="str">
        <f>A1069&amp;"."&amp;B1069</f>
        <v>165.遙控無人機重量增加可能對起飛速度造成下列哪種結果</v>
      </c>
      <c r="D1069" s="4" t="str">
        <f>dB題庫!C166</f>
        <v>降低起飛速度。</v>
      </c>
      <c r="E1069" s="4" t="str">
        <f>dB題庫!D166</f>
        <v>起飛速度不變。</v>
      </c>
      <c r="F1069" s="4" t="str">
        <f>dB題庫!E166</f>
        <v>提高起飛速度。</v>
      </c>
      <c r="G1069" s="4" t="str">
        <f>dB題庫!F166</f>
        <v>以上皆非。</v>
      </c>
      <c r="H1069" s="4" t="str">
        <f>dB題庫!G166</f>
        <v>C.</v>
      </c>
      <c r="I1069" s="4" t="str">
        <f>dB題庫!H166</f>
        <v>無人機總重量增加意味著需要更大的升力。為達到起飛升力，必須提高起飛與降落速度、加長起滑與滾行距離、降低爬升率與爬升角，並全面降低飛行操作性能與最高升限。
【】變重了，必須加大馬力提速才能順利升空。</v>
      </c>
    </row>
    <row r="1070" spans="1:9" s="3" customFormat="1" ht="15">
      <c r="A1070" s="2" t="s">
        <v>114</v>
      </c>
      <c r="B1070" s="1"/>
      <c r="C1070" s="7" t="str">
        <f>"(A.)"&amp;D1069</f>
        <v>(A.)降低起飛速度。</v>
      </c>
      <c r="D1070" s="2"/>
      <c r="E1070" s="2"/>
      <c r="F1070" s="2"/>
      <c r="G1070" s="2"/>
      <c r="H1070" s="2"/>
      <c r="I1070" s="2"/>
    </row>
    <row r="1071" spans="1:9" s="3" customFormat="1" ht="15">
      <c r="A1071" s="2"/>
      <c r="B1071" s="1"/>
      <c r="C1071" s="7" t="str">
        <f>"(B.)"&amp;E1069</f>
        <v>(B.)起飛速度不變。</v>
      </c>
      <c r="D1071" s="2"/>
      <c r="E1071" s="2"/>
      <c r="F1071" s="2"/>
      <c r="G1071" s="2"/>
      <c r="H1071" s="2"/>
      <c r="I1071" s="2"/>
    </row>
    <row r="1072" spans="1:9" s="3" customFormat="1" ht="15">
      <c r="A1072" s="2"/>
      <c r="B1072" s="2"/>
      <c r="C1072" s="7" t="str">
        <f>"(C.)"&amp;F1069</f>
        <v>(C.)提高起飛速度。</v>
      </c>
      <c r="D1072" s="2"/>
      <c r="E1072" s="2"/>
      <c r="F1072" s="2"/>
      <c r="G1072" s="2"/>
      <c r="H1072" s="2"/>
      <c r="I1072" s="2"/>
    </row>
    <row r="1073" spans="1:9" s="3" customFormat="1" ht="15">
      <c r="A1073" s="2"/>
      <c r="B1073" s="2"/>
      <c r="C1073" s="7" t="str">
        <f>"(D.)"&amp;G1069</f>
        <v>(D.)以上皆非。</v>
      </c>
      <c r="D1073" s="2"/>
      <c r="E1073" s="2"/>
      <c r="F1073" s="2"/>
      <c r="G1073" s="2"/>
      <c r="H1073" s="2"/>
      <c r="I1073" s="2"/>
    </row>
    <row r="1074" spans="1:9" s="3" customFormat="1" ht="15">
      <c r="A1074" s="2"/>
      <c r="B1074" s="2"/>
      <c r="C1074" s="7" t="str">
        <f>"答案是： "&amp;IF(H1069="A.",C1070,IF(H1069="B.",C1071,IF(H1069="C.",C1072,IF(H1069=("D."),C1073,"XXXX"))))</f>
        <v>答案是： (C.)提高起飛速度。</v>
      </c>
      <c r="D1074" s="2"/>
      <c r="E1074" s="2"/>
      <c r="F1074" s="2"/>
      <c r="G1074" s="2"/>
      <c r="H1074" s="2"/>
      <c r="I1074" s="2"/>
    </row>
    <row r="1075" spans="1:9" s="3" customFormat="1" ht="75">
      <c r="A1075" s="2"/>
      <c r="B1075" s="2"/>
      <c r="C1075" s="7" t="str">
        <f>"說明："&amp;I1069</f>
        <v>說明：無人機總重量增加意味著需要更大的升力。為達到起飛升力，必須提高起飛與降落速度、加長起滑與滾行距離、降低爬升率與爬升角，並全面降低飛行操作性能與最高升限。
【】變重了，必須加大馬力提速才能順利升空。</v>
      </c>
      <c r="D1075" s="2"/>
      <c r="E1075" s="2"/>
      <c r="F1075" s="2"/>
      <c r="G1075" s="2"/>
      <c r="H1075" s="2"/>
      <c r="I1075" s="2"/>
    </row>
    <row r="1076" spans="1:9" s="3" customFormat="1" ht="60">
      <c r="A1076" s="4" t="str">
        <f>dB題庫!A167</f>
        <v>166</v>
      </c>
      <c r="B1076" s="4" t="str">
        <f>dB題庫!B167</f>
        <v>遙控無人機重量增加可能對滑行距離造成下列哪種結果</v>
      </c>
      <c r="C1076" s="4" t="str">
        <f>A1076&amp;"."&amp;B1076</f>
        <v>166.遙控無人機重量增加可能對滑行距離造成下列哪種結果</v>
      </c>
      <c r="D1076" s="4" t="str">
        <f>dB題庫!C167</f>
        <v>縮短起飛滑行距離。</v>
      </c>
      <c r="E1076" s="4" t="str">
        <f>dB題庫!D167</f>
        <v>加長起飛滑行距離。</v>
      </c>
      <c r="F1076" s="4" t="str">
        <f>dB題庫!E167</f>
        <v>起飛滑行距離不變。</v>
      </c>
      <c r="G1076" s="4" t="str">
        <f>dB題庫!F167</f>
        <v>以上皆非。</v>
      </c>
      <c r="H1076" s="4" t="str">
        <f>dB題庫!G167</f>
        <v>B.</v>
      </c>
      <c r="I1076" s="4" t="str">
        <f>dB題庫!H167</f>
        <v>無人機總重量增加意味著需要更大的升力。為達到起飛升力，必須提高起飛與降落速度、加長起滑與滾行距離、降低爬升率與爬升角，並全面降低飛行操作性能與最高升限。
【】變重了，必須再滑快一些以取得升空的能量，故須加長起飛滑行距離。</v>
      </c>
    </row>
    <row r="1077" spans="1:9" s="3" customFormat="1" ht="15">
      <c r="A1077" s="2" t="s">
        <v>114</v>
      </c>
      <c r="B1077" s="1"/>
      <c r="C1077" s="7" t="str">
        <f>"(A.)"&amp;D1076</f>
        <v>(A.)縮短起飛滑行距離。</v>
      </c>
      <c r="D1077" s="2"/>
      <c r="E1077" s="2"/>
      <c r="F1077" s="2"/>
      <c r="G1077" s="2"/>
      <c r="H1077" s="2"/>
      <c r="I1077" s="2"/>
    </row>
    <row r="1078" spans="1:9" s="3" customFormat="1" ht="15">
      <c r="A1078" s="2"/>
      <c r="B1078" s="1"/>
      <c r="C1078" s="7" t="str">
        <f>"(B.)"&amp;E1076</f>
        <v>(B.)加長起飛滑行距離。</v>
      </c>
      <c r="D1078" s="2"/>
      <c r="E1078" s="2"/>
      <c r="F1078" s="2"/>
      <c r="G1078" s="2"/>
      <c r="H1078" s="2"/>
      <c r="I1078" s="2"/>
    </row>
    <row r="1079" spans="1:9" s="3" customFormat="1" ht="15">
      <c r="A1079" s="2"/>
      <c r="B1079" s="2"/>
      <c r="C1079" s="7" t="str">
        <f>"(C.)"&amp;F1076</f>
        <v>(C.)起飛滑行距離不變。</v>
      </c>
      <c r="D1079" s="2"/>
      <c r="E1079" s="2"/>
      <c r="F1079" s="2"/>
      <c r="G1079" s="2"/>
      <c r="H1079" s="2"/>
      <c r="I1079" s="2"/>
    </row>
    <row r="1080" spans="1:9" s="3" customFormat="1" ht="15">
      <c r="A1080" s="2"/>
      <c r="B1080" s="2"/>
      <c r="C1080" s="7" t="str">
        <f>"(D.)"&amp;G1076</f>
        <v>(D.)以上皆非。</v>
      </c>
      <c r="D1080" s="2"/>
      <c r="E1080" s="2"/>
      <c r="F1080" s="2"/>
      <c r="G1080" s="2"/>
      <c r="H1080" s="2"/>
      <c r="I1080" s="2"/>
    </row>
    <row r="1081" spans="1:9" s="3" customFormat="1" ht="15">
      <c r="A1081" s="2"/>
      <c r="B1081" s="2"/>
      <c r="C1081" s="7" t="str">
        <f>"答案是： "&amp;IF(H1076="A.",C1077,IF(H1076="B.",C1078,IF(H1076="C.",C1079,IF(H1076=("D."),C1080,"XXXX"))))</f>
        <v>答案是： (B.)加長起飛滑行距離。</v>
      </c>
      <c r="D1081" s="2"/>
      <c r="E1081" s="2"/>
      <c r="F1081" s="2"/>
      <c r="G1081" s="2"/>
      <c r="H1081" s="2"/>
      <c r="I1081" s="2"/>
    </row>
    <row r="1082" spans="1:9" s="3" customFormat="1" ht="90">
      <c r="A1082" s="2"/>
      <c r="B1082" s="2"/>
      <c r="C1082" s="7" t="str">
        <f>"說明："&amp;I1076</f>
        <v>說明：無人機總重量增加意味著需要更大的升力。為達到起飛升力，必須提高起飛與降落速度、加長起滑與滾行距離、降低爬升率與爬升角，並全面降低飛行操作性能與最高升限。
【】變重了，必須再滑快一些以取得升空的能量，故須加長起飛滑行距離。</v>
      </c>
      <c r="D1082" s="2"/>
      <c r="E1082" s="2"/>
      <c r="F1082" s="2"/>
      <c r="G1082" s="2"/>
      <c r="H1082" s="2"/>
      <c r="I1082" s="2"/>
    </row>
    <row r="1083" spans="1:9" s="3" customFormat="1" ht="60">
      <c r="A1083" s="4" t="str">
        <f>dB題庫!A168</f>
        <v>167</v>
      </c>
      <c r="B1083" s="4" t="str">
        <f>dB題庫!B168</f>
        <v>遙控無人機重量增加可能對爬升率及爬升角造成下列哪種結果</v>
      </c>
      <c r="C1083" s="4" t="str">
        <f>A1083&amp;"."&amp;B1083</f>
        <v>167.遙控無人機重量增加可能對爬升率及爬升角造成下列哪種結果</v>
      </c>
      <c r="D1083" s="4" t="str">
        <f>dB題庫!C168</f>
        <v>降低爬升率和爬升角度。</v>
      </c>
      <c r="E1083" s="4" t="str">
        <f>dB題庫!D168</f>
        <v>增加爬升率和爬升角度。</v>
      </c>
      <c r="F1083" s="4" t="str">
        <f>dB題庫!E168</f>
        <v>爬升率和爬升角度不變。</v>
      </c>
      <c r="G1083" s="4" t="str">
        <f>dB題庫!F168</f>
        <v>以上皆非。</v>
      </c>
      <c r="H1083" s="4" t="str">
        <f>dB題庫!G168</f>
        <v>A.</v>
      </c>
      <c r="I1083" s="4" t="str">
        <f>dB題庫!H168</f>
        <v>無人機總重量增加意味著需要更大的升力。為達到起飛升力，必須提高起飛與降落速度、加長起滑與滾行距離、降低爬升率與爬升角，並全面降低飛行操作性能與最高升限。
【】太重了，必須緩慢升空。</v>
      </c>
    </row>
    <row r="1084" spans="1:9" s="3" customFormat="1" ht="15">
      <c r="A1084" s="2" t="s">
        <v>114</v>
      </c>
      <c r="B1084" s="1"/>
      <c r="C1084" s="7" t="str">
        <f>"(A.)"&amp;D1083</f>
        <v>(A.)降低爬升率和爬升角度。</v>
      </c>
      <c r="D1084" s="2"/>
      <c r="E1084" s="2"/>
      <c r="F1084" s="2"/>
      <c r="G1084" s="2"/>
      <c r="H1084" s="2"/>
      <c r="I1084" s="2"/>
    </row>
    <row r="1085" spans="1:9" s="3" customFormat="1" ht="15">
      <c r="A1085" s="2"/>
      <c r="B1085" s="1"/>
      <c r="C1085" s="7" t="str">
        <f>"(B.)"&amp;E1083</f>
        <v>(B.)增加爬升率和爬升角度。</v>
      </c>
      <c r="D1085" s="2"/>
      <c r="E1085" s="2"/>
      <c r="F1085" s="2"/>
      <c r="G1085" s="2"/>
      <c r="H1085" s="2"/>
      <c r="I1085" s="2"/>
    </row>
    <row r="1086" spans="1:9" s="3" customFormat="1" ht="15">
      <c r="A1086" s="2"/>
      <c r="B1086" s="2"/>
      <c r="C1086" s="7" t="str">
        <f>"(C.)"&amp;F1083</f>
        <v>(C.)爬升率和爬升角度不變。</v>
      </c>
      <c r="D1086" s="2"/>
      <c r="E1086" s="2"/>
      <c r="F1086" s="2"/>
      <c r="G1086" s="2"/>
      <c r="H1086" s="2"/>
      <c r="I1086" s="2"/>
    </row>
    <row r="1087" spans="1:9" s="3" customFormat="1" ht="15">
      <c r="A1087" s="2"/>
      <c r="B1087" s="2"/>
      <c r="C1087" s="7" t="str">
        <f>"(D.)"&amp;G1083</f>
        <v>(D.)以上皆非。</v>
      </c>
      <c r="D1087" s="2"/>
      <c r="E1087" s="2"/>
      <c r="F1087" s="2"/>
      <c r="G1087" s="2"/>
      <c r="H1087" s="2"/>
      <c r="I1087" s="2"/>
    </row>
    <row r="1088" spans="1:9" s="3" customFormat="1" ht="15">
      <c r="A1088" s="2"/>
      <c r="B1088" s="2"/>
      <c r="C1088" s="7" t="str">
        <f>"答案是： "&amp;IF(H1083="A.",C1084,IF(H1083="B.",C1085,IF(H1083="C.",C1086,IF(H1083=("D."),C1087,"XXXX"))))</f>
        <v>答案是： (A.)降低爬升率和爬升角度。</v>
      </c>
      <c r="D1088" s="2"/>
      <c r="E1088" s="2"/>
      <c r="F1088" s="2"/>
      <c r="G1088" s="2"/>
      <c r="H1088" s="2"/>
      <c r="I1088" s="2"/>
    </row>
    <row r="1089" spans="1:9" s="3" customFormat="1" ht="75">
      <c r="A1089" s="2"/>
      <c r="B1089" s="2"/>
      <c r="C1089" s="7" t="str">
        <f>"說明："&amp;I1083</f>
        <v>說明：無人機總重量增加意味著需要更大的升力。為達到起飛升力，必須提高起飛與降落速度、加長起滑與滾行距離、降低爬升率與爬升角，並全面降低飛行操作性能與最高升限。
【】太重了，必須緩慢升空。</v>
      </c>
      <c r="D1089" s="2"/>
      <c r="E1089" s="2"/>
      <c r="F1089" s="2"/>
      <c r="G1089" s="2"/>
      <c r="H1089" s="2"/>
      <c r="I1089" s="2"/>
    </row>
    <row r="1090" spans="1:9" s="3" customFormat="1" ht="60">
      <c r="A1090" s="4" t="str">
        <f>dB題庫!A169</f>
        <v>168</v>
      </c>
      <c r="B1090" s="4" t="str">
        <f>dB題庫!B169</f>
        <v>遙控無人機重量增加可能對飛航最高高度造成下列哪種結果</v>
      </c>
      <c r="C1090" s="4" t="str">
        <f>A1090&amp;"."&amp;B1090</f>
        <v>168.遙控無人機重量增加可能對飛航最高高度造成下列哪種結果</v>
      </c>
      <c r="D1090" s="4" t="str">
        <f>dB題庫!C169</f>
        <v>降低飛航最高高度。</v>
      </c>
      <c r="E1090" s="4" t="str">
        <f>dB題庫!D169</f>
        <v>增加飛航最高高度。</v>
      </c>
      <c r="F1090" s="4" t="str">
        <f>dB題庫!E169</f>
        <v>飛航最高高度不變。</v>
      </c>
      <c r="G1090" s="4" t="str">
        <f>dB題庫!F169</f>
        <v>以上皆非。</v>
      </c>
      <c r="H1090" s="4" t="str">
        <f>dB題庫!G169</f>
        <v>A.</v>
      </c>
      <c r="I1090" s="4" t="str">
        <f>dB題庫!H169</f>
        <v>無人機總重量增加意味著需要更大的升力。為達到起飛升力，必須提高起飛與降落速度、加長起滑與滾行距離、降低爬升率與爬升角，並全面降低飛行操作性能與最高升限。
【】變重了，原設計能量不足以支撐原飛航空度。</v>
      </c>
    </row>
    <row r="1091" spans="1:9" s="3" customFormat="1" ht="15">
      <c r="A1091" s="2" t="s">
        <v>114</v>
      </c>
      <c r="B1091" s="1"/>
      <c r="C1091" s="7" t="str">
        <f>"(A.)"&amp;D1090</f>
        <v>(A.)降低飛航最高高度。</v>
      </c>
      <c r="D1091" s="2"/>
      <c r="E1091" s="2"/>
      <c r="F1091" s="2"/>
      <c r="G1091" s="2"/>
      <c r="H1091" s="2"/>
      <c r="I1091" s="2"/>
    </row>
    <row r="1092" spans="1:9" s="3" customFormat="1" ht="15">
      <c r="A1092" s="2"/>
      <c r="B1092" s="1"/>
      <c r="C1092" s="7" t="str">
        <f>"(B.)"&amp;E1090</f>
        <v>(B.)增加飛航最高高度。</v>
      </c>
      <c r="D1092" s="2"/>
      <c r="E1092" s="2"/>
      <c r="F1092" s="2"/>
      <c r="G1092" s="2"/>
      <c r="H1092" s="2"/>
      <c r="I1092" s="2"/>
    </row>
    <row r="1093" spans="1:9" s="3" customFormat="1" ht="15">
      <c r="A1093" s="2"/>
      <c r="B1093" s="2"/>
      <c r="C1093" s="7" t="str">
        <f>"(C.)"&amp;F1090</f>
        <v>(C.)飛航最高高度不變。</v>
      </c>
      <c r="D1093" s="2"/>
      <c r="E1093" s="2"/>
      <c r="F1093" s="2"/>
      <c r="G1093" s="2"/>
      <c r="H1093" s="2"/>
      <c r="I1093" s="2"/>
    </row>
    <row r="1094" spans="1:9" s="3" customFormat="1" ht="15">
      <c r="A1094" s="2"/>
      <c r="B1094" s="2"/>
      <c r="C1094" s="7" t="str">
        <f>"(D.)"&amp;G1090</f>
        <v>(D.)以上皆非。</v>
      </c>
      <c r="D1094" s="2"/>
      <c r="E1094" s="2"/>
      <c r="F1094" s="2"/>
      <c r="G1094" s="2"/>
      <c r="H1094" s="2"/>
      <c r="I1094" s="2"/>
    </row>
    <row r="1095" spans="1:9" s="3" customFormat="1" ht="15">
      <c r="A1095" s="2"/>
      <c r="B1095" s="2"/>
      <c r="C1095" s="7" t="str">
        <f>"答案是： "&amp;IF(H1090="A.",C1091,IF(H1090="B.",C1092,IF(H1090="C.",C1093,IF(H1090=("D."),C1094,"XXXX"))))</f>
        <v>答案是： (A.)降低飛航最高高度。</v>
      </c>
      <c r="D1095" s="2"/>
      <c r="E1095" s="2"/>
      <c r="F1095" s="2"/>
      <c r="G1095" s="2"/>
      <c r="H1095" s="2"/>
      <c r="I1095" s="2"/>
    </row>
    <row r="1096" spans="1:9" s="3" customFormat="1" ht="90">
      <c r="A1096" s="2"/>
      <c r="B1096" s="2"/>
      <c r="C1096" s="7" t="str">
        <f>"說明："&amp;I1090</f>
        <v>說明：無人機總重量增加意味著需要更大的升力。為達到起飛升力，必須提高起飛與降落速度、加長起滑與滾行距離、降低爬升率與爬升角，並全面降低飛行操作性能與最高升限。
【】變重了，原設計能量不足以支撐原飛航空度。</v>
      </c>
      <c r="D1096" s="2"/>
      <c r="E1096" s="2"/>
      <c r="F1096" s="2"/>
      <c r="G1096" s="2"/>
      <c r="H1096" s="2"/>
      <c r="I1096" s="2"/>
    </row>
    <row r="1097" spans="1:9" s="3" customFormat="1" ht="60">
      <c r="A1097" s="4" t="str">
        <f>dB題庫!A170</f>
        <v>169</v>
      </c>
      <c r="B1097" s="4" t="str">
        <f>dB題庫!B170</f>
        <v>遙控無人機重量增加可能對操作性能造成下列哪種結果</v>
      </c>
      <c r="C1097" s="4" t="str">
        <f>A1097&amp;"."&amp;B1097</f>
        <v>169.遙控無人機重量增加可能對操作性能造成下列哪種結果</v>
      </c>
      <c r="D1097" s="4" t="str">
        <f>dB題庫!C170</f>
        <v>操作性能不變。</v>
      </c>
      <c r="E1097" s="4" t="str">
        <f>dB題庫!D170</f>
        <v>增加操作性能。</v>
      </c>
      <c r="F1097" s="4" t="str">
        <f>dB題庫!E170</f>
        <v>降低操作性能。</v>
      </c>
      <c r="G1097" s="4" t="str">
        <f>dB題庫!F170</f>
        <v>以上皆非。</v>
      </c>
      <c r="H1097" s="4" t="str">
        <f>dB題庫!G170</f>
        <v>C.</v>
      </c>
      <c r="I1097" s="4" t="str">
        <f>dB題庫!H170</f>
        <v>無人機總重量增加意味著需要更大的升力。為達到起飛升力，必須提高起飛與降落速度、加長起滑與滾行距離、降低爬升率與爬升角，並全面降低飛行操作性能與最高升限。
【】變重了，任何功能均須加大出力才能動作，因此操作性能降低了。</v>
      </c>
    </row>
    <row r="1098" spans="1:9" s="3" customFormat="1" ht="15">
      <c r="A1098" s="2" t="s">
        <v>114</v>
      </c>
      <c r="B1098" s="1"/>
      <c r="C1098" s="7" t="str">
        <f>"(A.)"&amp;D1097</f>
        <v>(A.)操作性能不變。</v>
      </c>
      <c r="D1098" s="2"/>
      <c r="E1098" s="2"/>
      <c r="F1098" s="2"/>
      <c r="G1098" s="2"/>
      <c r="H1098" s="2"/>
      <c r="I1098" s="2"/>
    </row>
    <row r="1099" spans="1:9" s="3" customFormat="1" ht="15">
      <c r="A1099" s="2"/>
      <c r="B1099" s="1"/>
      <c r="C1099" s="7" t="str">
        <f>"(B.)"&amp;E1097</f>
        <v>(B.)增加操作性能。</v>
      </c>
      <c r="D1099" s="2"/>
      <c r="E1099" s="2"/>
      <c r="F1099" s="2"/>
      <c r="G1099" s="2"/>
      <c r="H1099" s="2"/>
      <c r="I1099" s="2"/>
    </row>
    <row r="1100" spans="1:9" s="3" customFormat="1" ht="15">
      <c r="A1100" s="2"/>
      <c r="B1100" s="2"/>
      <c r="C1100" s="7" t="str">
        <f>"(C.)"&amp;F1097</f>
        <v>(C.)降低操作性能。</v>
      </c>
      <c r="D1100" s="2"/>
      <c r="E1100" s="2"/>
      <c r="F1100" s="2"/>
      <c r="G1100" s="2"/>
      <c r="H1100" s="2"/>
      <c r="I1100" s="2"/>
    </row>
    <row r="1101" spans="1:9" s="3" customFormat="1" ht="15">
      <c r="A1101" s="2"/>
      <c r="B1101" s="2"/>
      <c r="C1101" s="7" t="str">
        <f>"(D.)"&amp;G1097</f>
        <v>(D.)以上皆非。</v>
      </c>
      <c r="D1101" s="2"/>
      <c r="E1101" s="2"/>
      <c r="F1101" s="2"/>
      <c r="G1101" s="2"/>
      <c r="H1101" s="2"/>
      <c r="I1101" s="2"/>
    </row>
    <row r="1102" spans="1:9" s="3" customFormat="1" ht="15">
      <c r="A1102" s="2"/>
      <c r="B1102" s="2"/>
      <c r="C1102" s="7" t="str">
        <f>"答案是： "&amp;IF(H1097="A.",C1098,IF(H1097="B.",C1099,IF(H1097="C.",C1100,IF(H1097=("D."),C1101,"XXXX"))))</f>
        <v>答案是： (C.)降低操作性能。</v>
      </c>
      <c r="D1102" s="2"/>
      <c r="E1102" s="2"/>
      <c r="F1102" s="2"/>
      <c r="G1102" s="2"/>
      <c r="H1102" s="2"/>
      <c r="I1102" s="2"/>
    </row>
    <row r="1103" spans="1:9" s="3" customFormat="1" ht="90">
      <c r="A1103" s="2"/>
      <c r="B1103" s="2"/>
      <c r="C1103" s="7" t="str">
        <f>"說明："&amp;I1097</f>
        <v>說明：無人機總重量增加意味著需要更大的升力。為達到起飛升力，必須提高起飛與降落速度、加長起滑與滾行距離、降低爬升率與爬升角，並全面降低飛行操作性能與最高升限。
【】變重了，任何功能均須加大出力才能動作，因此操作性能降低了。</v>
      </c>
      <c r="D1103" s="2"/>
      <c r="E1103" s="2"/>
      <c r="F1103" s="2"/>
      <c r="G1103" s="2"/>
      <c r="H1103" s="2"/>
      <c r="I1103" s="2"/>
    </row>
    <row r="1104" spans="1:9" s="3" customFormat="1" ht="75">
      <c r="A1104" s="4" t="str">
        <f>dB題庫!A171</f>
        <v>170</v>
      </c>
      <c r="B1104" s="4" t="str">
        <f>dB題庫!B171</f>
        <v>遙控無人機重量增加可能對進場及降落速度造成下列哪種結果</v>
      </c>
      <c r="C1104" s="4" t="str">
        <f>A1104&amp;"."&amp;B1104</f>
        <v>170.遙控無人機重量增加可能對進場及降落速度造成下列哪種結果</v>
      </c>
      <c r="D1104" s="4" t="str">
        <f>dB題庫!C171</f>
        <v>降低進場和降落速度。</v>
      </c>
      <c r="E1104" s="4" t="str">
        <f>dB題庫!D171</f>
        <v>提高進場和降落速度。</v>
      </c>
      <c r="F1104" s="4" t="str">
        <f>dB題庫!E171</f>
        <v>進場和降落速度不變。</v>
      </c>
      <c r="G1104" s="4" t="str">
        <f>dB題庫!F171</f>
        <v>以上皆非。</v>
      </c>
      <c r="H1104" s="4" t="str">
        <f>dB題庫!G171</f>
        <v>B.</v>
      </c>
      <c r="I1104" s="4" t="str">
        <f>dB題庫!H171</f>
        <v>無人機總重量增加意味著需要更大的升力。為達到起飛升力，必須提高起飛與降落速度、加長起滑與滾行距離、降低爬升率與爬升角，並全面降低飛行操作性能與最高升限。
【】變重了，原設計能量不足以支撐原設計起飛、降落功能，必須加大出力，因此起飛時要提速、降落時因重量關係，速度會增加。</v>
      </c>
    </row>
    <row r="1105" spans="1:9" s="3" customFormat="1" ht="15">
      <c r="A1105" s="2" t="s">
        <v>114</v>
      </c>
      <c r="B1105" s="1"/>
      <c r="C1105" s="7" t="str">
        <f>"(A.)"&amp;D1104</f>
        <v>(A.)降低進場和降落速度。</v>
      </c>
      <c r="D1105" s="2"/>
      <c r="E1105" s="2"/>
      <c r="F1105" s="2"/>
      <c r="G1105" s="2"/>
      <c r="H1105" s="2"/>
      <c r="I1105" s="2"/>
    </row>
    <row r="1106" spans="1:9" s="3" customFormat="1" ht="15">
      <c r="A1106" s="2"/>
      <c r="B1106" s="1"/>
      <c r="C1106" s="7" t="str">
        <f>"(B.)"&amp;E1104</f>
        <v>(B.)提高進場和降落速度。</v>
      </c>
      <c r="D1106" s="2"/>
      <c r="E1106" s="2"/>
      <c r="F1106" s="2"/>
      <c r="G1106" s="2"/>
      <c r="H1106" s="2"/>
      <c r="I1106" s="2"/>
    </row>
    <row r="1107" spans="1:9" s="3" customFormat="1" ht="15">
      <c r="A1107" s="2"/>
      <c r="B1107" s="2"/>
      <c r="C1107" s="7" t="str">
        <f>"(C.)"&amp;F1104</f>
        <v>(C.)進場和降落速度不變。</v>
      </c>
      <c r="D1107" s="2"/>
      <c r="E1107" s="2"/>
      <c r="F1107" s="2"/>
      <c r="G1107" s="2"/>
      <c r="H1107" s="2"/>
      <c r="I1107" s="2"/>
    </row>
    <row r="1108" spans="1:9" s="3" customFormat="1" ht="15">
      <c r="A1108" s="2"/>
      <c r="B1108" s="2"/>
      <c r="C1108" s="7" t="str">
        <f>"(D.)"&amp;G1104</f>
        <v>(D.)以上皆非。</v>
      </c>
      <c r="D1108" s="2"/>
      <c r="E1108" s="2"/>
      <c r="F1108" s="2"/>
      <c r="G1108" s="2"/>
      <c r="H1108" s="2"/>
      <c r="I1108" s="2"/>
    </row>
    <row r="1109" spans="1:9" s="3" customFormat="1" ht="15">
      <c r="A1109" s="2"/>
      <c r="B1109" s="2"/>
      <c r="C1109" s="7" t="str">
        <f>"答案是： "&amp;IF(H1104="A.",C1105,IF(H1104="B.",C1106,IF(H1104="C.",C1107,IF(H1104=("D."),C1108,"XXXX"))))</f>
        <v>答案是： (B.)提高進場和降落速度。</v>
      </c>
      <c r="D1109" s="2"/>
      <c r="E1109" s="2"/>
      <c r="F1109" s="2"/>
      <c r="G1109" s="2"/>
      <c r="H1109" s="2"/>
      <c r="I1109" s="2"/>
    </row>
    <row r="1110" spans="1:9" s="3" customFormat="1" ht="105">
      <c r="A1110" s="2"/>
      <c r="B1110" s="2"/>
      <c r="C1110" s="7" t="str">
        <f>"說明："&amp;I1104</f>
        <v>說明：無人機總重量增加意味著需要更大的升力。為達到起飛升力，必須提高起飛與降落速度、加長起滑與滾行距離、降低爬升率與爬升角，並全面降低飛行操作性能與最高升限。
【】變重了，原設計能量不足以支撐原設計起飛、降落功能，必須加大出力，因此起飛時要提速、降落時因重量關係，速度會增加。</v>
      </c>
      <c r="D1110" s="2"/>
      <c r="E1110" s="2"/>
      <c r="F1110" s="2"/>
      <c r="G1110" s="2"/>
      <c r="H1110" s="2"/>
      <c r="I1110" s="2"/>
    </row>
    <row r="1111" spans="1:9" s="3" customFormat="1" ht="75">
      <c r="A1111" s="4" t="str">
        <f>dB題庫!A172</f>
        <v>171</v>
      </c>
      <c r="B1111" s="4" t="str">
        <f>dB題庫!B172</f>
        <v>遙控無人機重量增加可能對降落滾行距離造成下列哪種結果</v>
      </c>
      <c r="C1111" s="4" t="str">
        <f>A1111&amp;"."&amp;B1111</f>
        <v>171.遙控無人機重量增加可能對降落滾行距離造成下列哪種結果</v>
      </c>
      <c r="D1111" s="4" t="str">
        <f>dB題庫!C172</f>
        <v>加長降落滾行距離。</v>
      </c>
      <c r="E1111" s="4" t="str">
        <f>dB題庫!D172</f>
        <v>縮短降落滾行距離。</v>
      </c>
      <c r="F1111" s="4" t="str">
        <f>dB題庫!E172</f>
        <v>降落滾行距離不變。</v>
      </c>
      <c r="G1111" s="4" t="str">
        <f>dB題庫!F172</f>
        <v>以上皆非。</v>
      </c>
      <c r="H1111" s="4" t="str">
        <f>dB題庫!G172</f>
        <v>A.</v>
      </c>
      <c r="I1111" s="4" t="str">
        <f>dB題庫!H172</f>
        <v>無人機總重量增加意味著需要更大的升力。為達到起飛升力，必須提高起飛與降落速度、加長起滑與滾行距離、降低爬升率與爬升角，並全面降低飛行操作性能與最高升限。
【】變重了，原設計能量不足以支撐原設計起飛、降落功能，必須拉長滑行距離以消耗能量，才能順利停住。</v>
      </c>
    </row>
    <row r="1112" spans="1:9" s="3" customFormat="1" ht="15">
      <c r="A1112" s="2" t="s">
        <v>114</v>
      </c>
      <c r="B1112" s="1"/>
      <c r="C1112" s="7" t="str">
        <f>"(A.)"&amp;D1111</f>
        <v>(A.)加長降落滾行距離。</v>
      </c>
      <c r="D1112" s="2"/>
      <c r="E1112" s="2"/>
      <c r="F1112" s="2"/>
      <c r="G1112" s="2"/>
      <c r="H1112" s="2"/>
      <c r="I1112" s="2"/>
    </row>
    <row r="1113" spans="1:9" s="3" customFormat="1" ht="15">
      <c r="A1113" s="2"/>
      <c r="B1113" s="1"/>
      <c r="C1113" s="7" t="str">
        <f>"(B.)"&amp;E1111</f>
        <v>(B.)縮短降落滾行距離。</v>
      </c>
      <c r="D1113" s="2"/>
      <c r="E1113" s="2"/>
      <c r="F1113" s="2"/>
      <c r="G1113" s="2"/>
      <c r="H1113" s="2"/>
      <c r="I1113" s="2"/>
    </row>
    <row r="1114" spans="1:9" s="3" customFormat="1" ht="15">
      <c r="A1114" s="2"/>
      <c r="B1114" s="2"/>
      <c r="C1114" s="7" t="str">
        <f>"(C.)"&amp;F1111</f>
        <v>(C.)降落滾行距離不變。</v>
      </c>
      <c r="D1114" s="2"/>
      <c r="E1114" s="2"/>
      <c r="F1114" s="2"/>
      <c r="G1114" s="2"/>
      <c r="H1114" s="2"/>
      <c r="I1114" s="2"/>
    </row>
    <row r="1115" spans="1:9" s="3" customFormat="1" ht="15">
      <c r="A1115" s="2"/>
      <c r="B1115" s="2"/>
      <c r="C1115" s="7" t="str">
        <f>"(D.)"&amp;G1111</f>
        <v>(D.)以上皆非。</v>
      </c>
      <c r="D1115" s="2"/>
      <c r="E1115" s="2"/>
      <c r="F1115" s="2"/>
      <c r="G1115" s="2"/>
      <c r="H1115" s="2"/>
      <c r="I1115" s="2"/>
    </row>
    <row r="1116" spans="1:9" s="3" customFormat="1" ht="15">
      <c r="A1116" s="2"/>
      <c r="B1116" s="2"/>
      <c r="C1116" s="7" t="str">
        <f>"答案是： "&amp;IF(H1111="A.",C1112,IF(H1111="B.",C1113,IF(H1111="C.",C1114,IF(H1111=("D."),C1115,"XXXX"))))</f>
        <v>答案是： (A.)加長降落滾行距離。</v>
      </c>
      <c r="D1116" s="2"/>
      <c r="E1116" s="2"/>
      <c r="F1116" s="2"/>
      <c r="G1116" s="2"/>
      <c r="H1116" s="2"/>
      <c r="I1116" s="2"/>
    </row>
    <row r="1117" spans="1:9" s="3" customFormat="1" ht="105">
      <c r="A1117" s="2"/>
      <c r="B1117" s="2"/>
      <c r="C1117" s="7" t="str">
        <f>"說明："&amp;I1111</f>
        <v>說明：無人機總重量增加意味著需要更大的升力。為達到起飛升力，必須提高起飛與降落速度、加長起滑與滾行距離、降低爬升率與爬升角，並全面降低飛行操作性能與最高升限。
【】變重了，原設計能量不足以支撐原設計起飛、降落功能，必須拉長滑行距離以消耗能量，才能順利停住。</v>
      </c>
      <c r="D1117" s="2"/>
      <c r="E1117" s="2"/>
      <c r="F1117" s="2"/>
      <c r="G1117" s="2"/>
      <c r="H1117" s="2"/>
      <c r="I1117" s="2"/>
    </row>
    <row r="1118" spans="1:9" s="3" customFormat="1" ht="45">
      <c r="A1118" s="4" t="str">
        <f>dB題庫!A173</f>
        <v>172</v>
      </c>
      <c r="B1118" s="4" t="str">
        <f>dB題庫!B173</f>
        <v>為確保飛行安全,操作人須審慎確認遙控無人機的下列哪個特性</v>
      </c>
      <c r="C1118" s="4" t="str">
        <f>A1118&amp;"."&amp;B1118</f>
        <v>172.為確保飛行安全,操作人須審慎確認遙控無人機的下列哪個特性</v>
      </c>
      <c r="D1118" s="4" t="str">
        <f>dB題庫!C173</f>
        <v>外觀。</v>
      </c>
      <c r="E1118" s="4" t="str">
        <f>dB題庫!D173</f>
        <v>重量與載重平衡。</v>
      </c>
      <c r="F1118" s="4" t="str">
        <f>dB題庫!E173</f>
        <v>價格。</v>
      </c>
      <c r="G1118" s="4" t="str">
        <f>dB題庫!F173</f>
        <v>以上皆是。</v>
      </c>
      <c r="H1118" s="4" t="str">
        <f>dB題庫!G173</f>
        <v>B.</v>
      </c>
      <c r="I1118" s="4" t="str">
        <f>dB題庫!H173</f>
        <v>此題考查基礎空氣動力學與無人機系統設計規範。無人機之重量與重心平衡(W&amp;B)是確保飛航安全與操作性能符合原廠諸元的核心關鍵，飛行前操作人必須精確掌握並確認其皆處於安全審慎的合理限制內。</v>
      </c>
    </row>
    <row r="1119" spans="1:9" s="3" customFormat="1" ht="15">
      <c r="A1119" s="2" t="s">
        <v>114</v>
      </c>
      <c r="B1119" s="1"/>
      <c r="C1119" s="7" t="str">
        <f>"(A.)"&amp;D1118</f>
        <v>(A.)外觀。</v>
      </c>
      <c r="D1119" s="2"/>
      <c r="E1119" s="2"/>
      <c r="F1119" s="2"/>
      <c r="G1119" s="2"/>
      <c r="H1119" s="2"/>
      <c r="I1119" s="2"/>
    </row>
    <row r="1120" spans="1:9" s="3" customFormat="1" ht="15">
      <c r="A1120" s="2"/>
      <c r="B1120" s="1"/>
      <c r="C1120" s="7" t="str">
        <f>"(B.)"&amp;E1118</f>
        <v>(B.)重量與載重平衡。</v>
      </c>
      <c r="D1120" s="2"/>
      <c r="E1120" s="2"/>
      <c r="F1120" s="2"/>
      <c r="G1120" s="2"/>
      <c r="H1120" s="2"/>
      <c r="I1120" s="2"/>
    </row>
    <row r="1121" spans="1:9" s="3" customFormat="1" ht="15">
      <c r="A1121" s="2"/>
      <c r="B1121" s="2"/>
      <c r="C1121" s="7" t="str">
        <f>"(C.)"&amp;F1118</f>
        <v>(C.)價格。</v>
      </c>
      <c r="D1121" s="2"/>
      <c r="E1121" s="2"/>
      <c r="F1121" s="2"/>
      <c r="G1121" s="2"/>
      <c r="H1121" s="2"/>
      <c r="I1121" s="2"/>
    </row>
    <row r="1122" spans="1:9" s="3" customFormat="1" ht="15">
      <c r="A1122" s="2"/>
      <c r="B1122" s="2"/>
      <c r="C1122" s="7" t="str">
        <f>"(D.)"&amp;G1118</f>
        <v>(D.)以上皆是。</v>
      </c>
      <c r="D1122" s="2"/>
      <c r="E1122" s="2"/>
      <c r="F1122" s="2"/>
      <c r="G1122" s="2"/>
      <c r="H1122" s="2"/>
      <c r="I1122" s="2"/>
    </row>
    <row r="1123" spans="1:9" s="3" customFormat="1" ht="15">
      <c r="A1123" s="2"/>
      <c r="B1123" s="2"/>
      <c r="C1123" s="7" t="str">
        <f>"答案是： "&amp;IF(H1118="A.",C1119,IF(H1118="B.",C1120,IF(H1118="C.",C1121,IF(H1118=("D."),C1122,"XXXX"))))</f>
        <v>答案是： (B.)重量與載重平衡。</v>
      </c>
      <c r="D1123" s="2"/>
      <c r="E1123" s="2"/>
      <c r="F1123" s="2"/>
      <c r="G1123" s="2"/>
      <c r="H1123" s="2"/>
      <c r="I1123" s="2"/>
    </row>
    <row r="1124" spans="1:9" s="3" customFormat="1" ht="75">
      <c r="A1124" s="2"/>
      <c r="B1124" s="2"/>
      <c r="C1124" s="7" t="str">
        <f>"說明："&amp;I1118</f>
        <v>說明：此題考查基礎空氣動力學與無人機系統設計規範。無人機之重量與重心平衡(W&amp;B)是確保飛航安全與操作性能符合原廠諸元的核心關鍵，飛行前操作人必須精確掌握並確認其皆處於安全審慎的合理限制內。</v>
      </c>
      <c r="D1124" s="2"/>
      <c r="E1124" s="2"/>
      <c r="F1124" s="2"/>
      <c r="G1124" s="2"/>
      <c r="H1124" s="2"/>
      <c r="I1124" s="2"/>
    </row>
    <row r="1125" spans="1:9" s="3" customFormat="1">
      <c r="A1125" s="3" t="s">
        <v>822</v>
      </c>
      <c r="C1125" s="3" t="s">
        <v>821</v>
      </c>
    </row>
  </sheetData>
  <phoneticPr fontId="1" type="noConversion"/>
  <pageMargins left="0.7" right="0.7" top="0.75" bottom="0.75" header="0.3" footer="0.3"/>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8"/>
  <sheetViews>
    <sheetView workbookViewId="0">
      <selection activeCell="B9" sqref="B9"/>
    </sheetView>
  </sheetViews>
  <sheetFormatPr baseColWidth="10" defaultColWidth="9" defaultRowHeight="14"/>
  <sheetData>
    <row r="2" spans="2:2">
      <c r="B2" t="s">
        <v>107</v>
      </c>
    </row>
    <row r="3" spans="2:2">
      <c r="B3" t="s">
        <v>108</v>
      </c>
    </row>
    <row r="4" spans="2:2">
      <c r="B4" t="s">
        <v>109</v>
      </c>
    </row>
    <row r="5" spans="2:2">
      <c r="B5" t="s">
        <v>110</v>
      </c>
    </row>
    <row r="6" spans="2:2">
      <c r="B6" t="s">
        <v>111</v>
      </c>
    </row>
    <row r="7" spans="2:2">
      <c r="B7" t="s">
        <v>112</v>
      </c>
    </row>
    <row r="8" spans="2:2">
      <c r="B8" t="s">
        <v>113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dB題庫</vt:lpstr>
      <vt:lpstr>【讀給你聽】</vt:lpstr>
      <vt:lpstr>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Mu-lan Yeh</cp:lastModifiedBy>
  <dcterms:created xsi:type="dcterms:W3CDTF">2026-07-10T10:14:54Z</dcterms:created>
  <dcterms:modified xsi:type="dcterms:W3CDTF">2026-08-09T04:07:35Z</dcterms:modified>
</cp:coreProperties>
</file>